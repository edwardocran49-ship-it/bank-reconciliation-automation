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427c6d0613c165/Documents/"/>
    </mc:Choice>
  </mc:AlternateContent>
  <xr:revisionPtr revIDLastSave="0" documentId="8_{1F870259-3B36-4446-828C-8768651605F9}" xr6:coauthVersionLast="47" xr6:coauthVersionMax="47" xr10:uidLastSave="{00000000-0000-0000-0000-000000000000}"/>
  <bookViews>
    <workbookView xWindow="-98" yWindow="-98" windowWidth="21795" windowHeight="12975" xr2:uid="{65D4BB87-4BA4-4B21-AE3B-7ECAF78FFA91}"/>
  </bookViews>
  <sheets>
    <sheet name="bank_statement_jun2026" sheetId="3" r:id="rId1"/>
    <sheet name="gl_cash_extract_jun2026" sheetId="2" r:id="rId2"/>
    <sheet name="Bank Reconciliation Statement" sheetId="4" r:id="rId3"/>
    <sheet name="Adjusted Cash Book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2" i="4" l="1" a="1"/>
  <c r="A22" i="4" s="1"/>
  <c r="A15" i="4" a="1"/>
  <c r="A15" i="4" s="1"/>
  <c r="D10" i="4"/>
  <c r="D11" i="4" s="1"/>
  <c r="D5" i="4"/>
  <c r="D8" i="4" s="1"/>
  <c r="D6" i="4"/>
  <c r="D7" i="4"/>
  <c r="E6" i="1"/>
  <c r="A32" i="1" a="1"/>
  <c r="A32" i="1" s="1"/>
  <c r="B32" i="1" a="1"/>
  <c r="B32" i="1" s="1"/>
  <c r="C32" i="1" a="1"/>
  <c r="C32" i="1" s="1"/>
  <c r="D32" i="1" a="1"/>
  <c r="D32" i="1" s="1"/>
  <c r="E32" i="1" a="1"/>
  <c r="E32" i="1" s="1"/>
  <c r="F32" i="1" a="1"/>
  <c r="F32" i="1" s="1"/>
  <c r="A26" i="1" a="1"/>
  <c r="A26" i="1" s="1"/>
  <c r="B26" i="1" a="1"/>
  <c r="B26" i="1" s="1"/>
  <c r="C26" i="1" a="1"/>
  <c r="C26" i="1" s="1"/>
  <c r="D26" i="1" a="1"/>
  <c r="D26" i="1"/>
  <c r="E7" i="1" s="1"/>
  <c r="A14" i="1" a="1"/>
  <c r="A14" i="1" s="1"/>
  <c r="D5" i="1"/>
  <c r="D6" i="1"/>
  <c r="D7" i="1"/>
  <c r="D8" i="1"/>
  <c r="D9" i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G2" i="2"/>
  <c r="H2" i="2" s="1"/>
  <c r="I2" i="2" s="1"/>
  <c r="G3" i="2"/>
  <c r="G4" i="2"/>
  <c r="G5" i="2"/>
  <c r="H5" i="2" s="1"/>
  <c r="I5" i="2" s="1"/>
  <c r="G6" i="2"/>
  <c r="H6" i="2" s="1"/>
  <c r="I6" i="2" s="1"/>
  <c r="G7" i="2"/>
  <c r="G8" i="2"/>
  <c r="G9" i="2"/>
  <c r="G10" i="2"/>
  <c r="H10" i="2" s="1"/>
  <c r="I10" i="2" s="1"/>
  <c r="G11" i="2"/>
  <c r="G12" i="2"/>
  <c r="G13" i="2"/>
  <c r="H13" i="2" s="1"/>
  <c r="I13" i="2" s="1"/>
  <c r="G14" i="2"/>
  <c r="G15" i="2"/>
  <c r="G16" i="2"/>
  <c r="G17" i="2"/>
  <c r="G18" i="2"/>
  <c r="H18" i="2" s="1"/>
  <c r="I18" i="2" s="1"/>
  <c r="G19" i="2"/>
  <c r="G20" i="2"/>
  <c r="G21" i="2"/>
  <c r="H21" i="2" s="1"/>
  <c r="I21" i="2" s="1"/>
  <c r="G22" i="2"/>
  <c r="G23" i="2"/>
  <c r="G24" i="2"/>
  <c r="G25" i="2"/>
  <c r="G26" i="2"/>
  <c r="H26" i="2" s="1"/>
  <c r="I26" i="2" s="1"/>
  <c r="G27" i="2"/>
  <c r="G28" i="2"/>
  <c r="G29" i="2"/>
  <c r="H29" i="2" s="1"/>
  <c r="I29" i="2" s="1"/>
  <c r="G30" i="2"/>
  <c r="G31" i="2"/>
  <c r="G32" i="2"/>
  <c r="G33" i="2"/>
  <c r="G34" i="2"/>
  <c r="H34" i="2" s="1"/>
  <c r="I34" i="2" s="1"/>
  <c r="G35" i="2"/>
  <c r="G36" i="2"/>
  <c r="G37" i="2"/>
  <c r="H37" i="2" s="1"/>
  <c r="I37" i="2" s="1"/>
  <c r="G38" i="2"/>
  <c r="G39" i="2"/>
  <c r="G40" i="2"/>
  <c r="G41" i="2"/>
  <c r="G42" i="2"/>
  <c r="H42" i="2" s="1"/>
  <c r="I42" i="2" s="1"/>
  <c r="G43" i="2"/>
  <c r="G44" i="2"/>
  <c r="G45" i="2"/>
  <c r="H45" i="2" s="1"/>
  <c r="I45" i="2" s="1"/>
  <c r="G46" i="2"/>
  <c r="G47" i="2"/>
  <c r="G48" i="2"/>
  <c r="G49" i="2"/>
  <c r="G50" i="2"/>
  <c r="H50" i="2" s="1"/>
  <c r="I50" i="2" s="1"/>
  <c r="G51" i="2"/>
  <c r="G52" i="2"/>
  <c r="G53" i="2"/>
  <c r="H53" i="2" s="1"/>
  <c r="I53" i="2" s="1"/>
  <c r="G54" i="2"/>
  <c r="G55" i="2"/>
  <c r="G56" i="2"/>
  <c r="G57" i="2"/>
  <c r="G58" i="2"/>
  <c r="H58" i="2" s="1"/>
  <c r="I58" i="2" s="1"/>
  <c r="G59" i="2"/>
  <c r="G60" i="2"/>
  <c r="G61" i="2"/>
  <c r="H61" i="2" s="1"/>
  <c r="I61" i="2" s="1"/>
  <c r="G62" i="2"/>
  <c r="G63" i="2"/>
  <c r="G64" i="2"/>
  <c r="G65" i="2"/>
  <c r="G66" i="2"/>
  <c r="H66" i="2" s="1"/>
  <c r="I66" i="2" s="1"/>
  <c r="G67" i="2"/>
  <c r="G68" i="2"/>
  <c r="G69" i="2"/>
  <c r="H69" i="2" s="1"/>
  <c r="I69" i="2" s="1"/>
  <c r="G70" i="2"/>
  <c r="G71" i="2"/>
  <c r="G72" i="2"/>
  <c r="G73" i="2"/>
  <c r="G74" i="2"/>
  <c r="H74" i="2" s="1"/>
  <c r="I74" i="2" s="1"/>
  <c r="G75" i="2"/>
  <c r="G76" i="2"/>
  <c r="G77" i="2"/>
  <c r="G78" i="2"/>
  <c r="G79" i="2"/>
  <c r="G80" i="2"/>
  <c r="G81" i="2"/>
  <c r="G82" i="2"/>
  <c r="H82" i="2" s="1"/>
  <c r="I82" i="2" s="1"/>
  <c r="G83" i="2"/>
  <c r="G84" i="2"/>
  <c r="G85" i="2"/>
  <c r="G86" i="2"/>
  <c r="G87" i="2"/>
  <c r="G88" i="2"/>
  <c r="G89" i="2"/>
  <c r="G90" i="2"/>
  <c r="H90" i="2" s="1"/>
  <c r="I90" i="2" s="1"/>
  <c r="G91" i="2"/>
  <c r="G92" i="2"/>
  <c r="G93" i="2"/>
  <c r="G94" i="2"/>
  <c r="G95" i="2"/>
  <c r="G96" i="2"/>
  <c r="G97" i="2"/>
  <c r="G98" i="2"/>
  <c r="H98" i="2" s="1"/>
  <c r="I98" i="2" s="1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H3" i="2"/>
  <c r="I3" i="2" s="1"/>
  <c r="H4" i="2"/>
  <c r="H7" i="2"/>
  <c r="H8" i="2"/>
  <c r="I8" i="2" s="1"/>
  <c r="H9" i="2"/>
  <c r="H11" i="2"/>
  <c r="I11" i="2" s="1"/>
  <c r="H12" i="2"/>
  <c r="H14" i="2"/>
  <c r="H15" i="2"/>
  <c r="H16" i="2"/>
  <c r="I16" i="2" s="1"/>
  <c r="H17" i="2"/>
  <c r="H19" i="2"/>
  <c r="I19" i="2" s="1"/>
  <c r="H20" i="2"/>
  <c r="H22" i="2"/>
  <c r="H23" i="2"/>
  <c r="H24" i="2"/>
  <c r="I24" i="2" s="1"/>
  <c r="H25" i="2"/>
  <c r="H27" i="2"/>
  <c r="I27" i="2" s="1"/>
  <c r="H28" i="2"/>
  <c r="H30" i="2"/>
  <c r="H31" i="2"/>
  <c r="H32" i="2"/>
  <c r="I32" i="2" s="1"/>
  <c r="H33" i="2"/>
  <c r="H35" i="2"/>
  <c r="I35" i="2" s="1"/>
  <c r="H36" i="2"/>
  <c r="H38" i="2"/>
  <c r="H39" i="2"/>
  <c r="H40" i="2"/>
  <c r="I40" i="2" s="1"/>
  <c r="H41" i="2"/>
  <c r="H43" i="2"/>
  <c r="I43" i="2" s="1"/>
  <c r="H44" i="2"/>
  <c r="H46" i="2"/>
  <c r="H47" i="2"/>
  <c r="H48" i="2"/>
  <c r="I48" i="2" s="1"/>
  <c r="H49" i="2"/>
  <c r="H51" i="2"/>
  <c r="I51" i="2" s="1"/>
  <c r="H52" i="2"/>
  <c r="H54" i="2"/>
  <c r="H55" i="2"/>
  <c r="H56" i="2"/>
  <c r="I56" i="2" s="1"/>
  <c r="H57" i="2"/>
  <c r="H59" i="2"/>
  <c r="I59" i="2" s="1"/>
  <c r="H60" i="2"/>
  <c r="H62" i="2"/>
  <c r="H63" i="2"/>
  <c r="H64" i="2"/>
  <c r="I64" i="2" s="1"/>
  <c r="H65" i="2"/>
  <c r="H67" i="2"/>
  <c r="I67" i="2" s="1"/>
  <c r="H68" i="2"/>
  <c r="H70" i="2"/>
  <c r="H71" i="2"/>
  <c r="H72" i="2"/>
  <c r="I72" i="2" s="1"/>
  <c r="H73" i="2"/>
  <c r="H75" i="2"/>
  <c r="I75" i="2" s="1"/>
  <c r="H76" i="2"/>
  <c r="H77" i="2"/>
  <c r="H78" i="2"/>
  <c r="H79" i="2"/>
  <c r="H80" i="2"/>
  <c r="I80" i="2" s="1"/>
  <c r="H81" i="2"/>
  <c r="H83" i="2"/>
  <c r="I83" i="2" s="1"/>
  <c r="H84" i="2"/>
  <c r="H85" i="2"/>
  <c r="H86" i="2"/>
  <c r="H87" i="2"/>
  <c r="H88" i="2"/>
  <c r="I88" i="2" s="1"/>
  <c r="H89" i="2"/>
  <c r="H91" i="2"/>
  <c r="I91" i="2" s="1"/>
  <c r="H92" i="2"/>
  <c r="H93" i="2"/>
  <c r="H94" i="2"/>
  <c r="H95" i="2"/>
  <c r="H96" i="2"/>
  <c r="I96" i="2" s="1"/>
  <c r="H97" i="2"/>
  <c r="H99" i="2"/>
  <c r="I99" i="2" s="1"/>
  <c r="H100" i="2"/>
  <c r="H101" i="2"/>
  <c r="H102" i="2"/>
  <c r="H103" i="2"/>
  <c r="H104" i="2"/>
  <c r="I104" i="2" s="1"/>
  <c r="H105" i="2"/>
  <c r="H106" i="2"/>
  <c r="H107" i="2"/>
  <c r="I107" i="2" s="1"/>
  <c r="H108" i="2"/>
  <c r="H109" i="2"/>
  <c r="H110" i="2"/>
  <c r="H111" i="2"/>
  <c r="H112" i="2"/>
  <c r="H113" i="2"/>
  <c r="H114" i="2"/>
  <c r="H115" i="2"/>
  <c r="I115" i="2" s="1"/>
  <c r="H116" i="2"/>
  <c r="H117" i="2"/>
  <c r="H118" i="2"/>
  <c r="H119" i="2"/>
  <c r="H120" i="2"/>
  <c r="H121" i="2"/>
  <c r="H122" i="2"/>
  <c r="H123" i="2"/>
  <c r="I4" i="2"/>
  <c r="I7" i="2"/>
  <c r="I9" i="2"/>
  <c r="I12" i="2"/>
  <c r="I14" i="2"/>
  <c r="I15" i="2"/>
  <c r="I17" i="2"/>
  <c r="I20" i="2"/>
  <c r="I22" i="2"/>
  <c r="I23" i="2"/>
  <c r="I25" i="2"/>
  <c r="I28" i="2"/>
  <c r="I30" i="2"/>
  <c r="I31" i="2"/>
  <c r="I33" i="2"/>
  <c r="I36" i="2"/>
  <c r="I38" i="2"/>
  <c r="I39" i="2"/>
  <c r="I41" i="2"/>
  <c r="I44" i="2"/>
  <c r="I46" i="2"/>
  <c r="I47" i="2"/>
  <c r="I49" i="2"/>
  <c r="I52" i="2"/>
  <c r="I54" i="2"/>
  <c r="I55" i="2"/>
  <c r="I57" i="2"/>
  <c r="I60" i="2"/>
  <c r="I62" i="2"/>
  <c r="I63" i="2"/>
  <c r="I65" i="2"/>
  <c r="I68" i="2"/>
  <c r="I70" i="2"/>
  <c r="I71" i="2"/>
  <c r="I73" i="2"/>
  <c r="I76" i="2"/>
  <c r="I77" i="2"/>
  <c r="I78" i="2"/>
  <c r="I79" i="2"/>
  <c r="I81" i="2"/>
  <c r="I84" i="2"/>
  <c r="I85" i="2"/>
  <c r="I86" i="2"/>
  <c r="I87" i="2"/>
  <c r="I89" i="2"/>
  <c r="I92" i="2"/>
  <c r="I93" i="2"/>
  <c r="I94" i="2"/>
  <c r="I95" i="2"/>
  <c r="I97" i="2"/>
  <c r="I100" i="2"/>
  <c r="I101" i="2"/>
  <c r="I102" i="2"/>
  <c r="I103" i="2"/>
  <c r="I105" i="2"/>
  <c r="I106" i="2"/>
  <c r="I108" i="2"/>
  <c r="I109" i="2"/>
  <c r="I110" i="2"/>
  <c r="I111" i="2"/>
  <c r="I112" i="2"/>
  <c r="I113" i="2"/>
  <c r="I114" i="2"/>
  <c r="I116" i="2"/>
  <c r="I117" i="2"/>
  <c r="I118" i="2"/>
  <c r="I119" i="2"/>
  <c r="I120" i="2"/>
  <c r="I121" i="2"/>
  <c r="I122" i="2"/>
  <c r="I123" i="2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F2" i="3"/>
  <c r="F3" i="3"/>
  <c r="F4" i="3"/>
  <c r="F5" i="3"/>
  <c r="F6" i="3"/>
  <c r="F7" i="3"/>
  <c r="F8" i="3"/>
  <c r="G8" i="3" s="1"/>
  <c r="H8" i="3" s="1"/>
  <c r="F9" i="3"/>
  <c r="F10" i="3"/>
  <c r="F11" i="3"/>
  <c r="F12" i="3"/>
  <c r="F13" i="3"/>
  <c r="F14" i="3"/>
  <c r="F15" i="3"/>
  <c r="F16" i="3"/>
  <c r="G16" i="3" s="1"/>
  <c r="H16" i="3" s="1"/>
  <c r="F17" i="3"/>
  <c r="F18" i="3"/>
  <c r="F19" i="3"/>
  <c r="F20" i="3"/>
  <c r="F21" i="3"/>
  <c r="F22" i="3"/>
  <c r="F23" i="3"/>
  <c r="F24" i="3"/>
  <c r="G24" i="3" s="1"/>
  <c r="H24" i="3" s="1"/>
  <c r="F25" i="3"/>
  <c r="F26" i="3"/>
  <c r="F27" i="3"/>
  <c r="F28" i="3"/>
  <c r="F29" i="3"/>
  <c r="F30" i="3"/>
  <c r="F31" i="3"/>
  <c r="F32" i="3"/>
  <c r="G32" i="3" s="1"/>
  <c r="H32" i="3" s="1"/>
  <c r="F33" i="3"/>
  <c r="F34" i="3"/>
  <c r="F35" i="3"/>
  <c r="F36" i="3"/>
  <c r="F37" i="3"/>
  <c r="F38" i="3"/>
  <c r="F39" i="3"/>
  <c r="F40" i="3"/>
  <c r="G40" i="3" s="1"/>
  <c r="H40" i="3" s="1"/>
  <c r="F41" i="3"/>
  <c r="F42" i="3"/>
  <c r="F43" i="3"/>
  <c r="F44" i="3"/>
  <c r="F45" i="3"/>
  <c r="F46" i="3"/>
  <c r="F47" i="3"/>
  <c r="F48" i="3"/>
  <c r="G48" i="3" s="1"/>
  <c r="H48" i="3" s="1"/>
  <c r="F49" i="3"/>
  <c r="F50" i="3"/>
  <c r="F51" i="3"/>
  <c r="F52" i="3"/>
  <c r="F53" i="3"/>
  <c r="F54" i="3"/>
  <c r="F55" i="3"/>
  <c r="F56" i="3"/>
  <c r="G56" i="3" s="1"/>
  <c r="H56" i="3" s="1"/>
  <c r="F57" i="3"/>
  <c r="F58" i="3"/>
  <c r="F59" i="3"/>
  <c r="G59" i="3" s="1"/>
  <c r="H59" i="3" s="1"/>
  <c r="F60" i="3"/>
  <c r="F61" i="3"/>
  <c r="F62" i="3"/>
  <c r="F63" i="3"/>
  <c r="F64" i="3"/>
  <c r="G64" i="3" s="1"/>
  <c r="H64" i="3" s="1"/>
  <c r="F65" i="3"/>
  <c r="F66" i="3"/>
  <c r="F67" i="3"/>
  <c r="F68" i="3"/>
  <c r="F69" i="3"/>
  <c r="F70" i="3"/>
  <c r="F71" i="3"/>
  <c r="F72" i="3"/>
  <c r="G72" i="3" s="1"/>
  <c r="H72" i="3" s="1"/>
  <c r="F73" i="3"/>
  <c r="F74" i="3"/>
  <c r="F75" i="3"/>
  <c r="F76" i="3"/>
  <c r="F77" i="3"/>
  <c r="F78" i="3"/>
  <c r="F79" i="3"/>
  <c r="F80" i="3"/>
  <c r="G80" i="3" s="1"/>
  <c r="H80" i="3" s="1"/>
  <c r="F81" i="3"/>
  <c r="F82" i="3"/>
  <c r="F83" i="3"/>
  <c r="F84" i="3"/>
  <c r="F85" i="3"/>
  <c r="F86" i="3"/>
  <c r="F87" i="3"/>
  <c r="F88" i="3"/>
  <c r="G88" i="3" s="1"/>
  <c r="H88" i="3" s="1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G104" i="3" s="1"/>
  <c r="H104" i="3" s="1"/>
  <c r="F105" i="3"/>
  <c r="F106" i="3"/>
  <c r="F107" i="3"/>
  <c r="F108" i="3"/>
  <c r="F109" i="3"/>
  <c r="F110" i="3"/>
  <c r="F111" i="3"/>
  <c r="F112" i="3"/>
  <c r="G112" i="3" s="1"/>
  <c r="H112" i="3" s="1"/>
  <c r="F113" i="3"/>
  <c r="F114" i="3"/>
  <c r="F115" i="3"/>
  <c r="F116" i="3"/>
  <c r="F117" i="3"/>
  <c r="F118" i="3"/>
  <c r="F119" i="3"/>
  <c r="F120" i="3"/>
  <c r="G120" i="3" s="1"/>
  <c r="H120" i="3" s="1"/>
  <c r="F121" i="3"/>
  <c r="F122" i="3"/>
  <c r="F123" i="3"/>
  <c r="G2" i="3"/>
  <c r="G3" i="3"/>
  <c r="G4" i="3"/>
  <c r="G5" i="3"/>
  <c r="G6" i="3"/>
  <c r="H6" i="3" s="1"/>
  <c r="G7" i="3"/>
  <c r="G9" i="3"/>
  <c r="G10" i="3"/>
  <c r="G11" i="3"/>
  <c r="G12" i="3"/>
  <c r="G13" i="3"/>
  <c r="G14" i="3"/>
  <c r="H14" i="3" s="1"/>
  <c r="G15" i="3"/>
  <c r="G17" i="3"/>
  <c r="G18" i="3"/>
  <c r="G19" i="3"/>
  <c r="G20" i="3"/>
  <c r="G21" i="3"/>
  <c r="G22" i="3"/>
  <c r="H22" i="3" s="1"/>
  <c r="G23" i="3"/>
  <c r="G25" i="3"/>
  <c r="G26" i="3"/>
  <c r="G27" i="3"/>
  <c r="G28" i="3"/>
  <c r="G29" i="3"/>
  <c r="G30" i="3"/>
  <c r="H30" i="3" s="1"/>
  <c r="G31" i="3"/>
  <c r="G33" i="3"/>
  <c r="G34" i="3"/>
  <c r="G35" i="3"/>
  <c r="G36" i="3"/>
  <c r="G37" i="3"/>
  <c r="G38" i="3"/>
  <c r="H38" i="3" s="1"/>
  <c r="G39" i="3"/>
  <c r="G41" i="3"/>
  <c r="G42" i="3"/>
  <c r="G43" i="3"/>
  <c r="G44" i="3"/>
  <c r="G45" i="3"/>
  <c r="G46" i="3"/>
  <c r="H46" i="3" s="1"/>
  <c r="G47" i="3"/>
  <c r="G49" i="3"/>
  <c r="G50" i="3"/>
  <c r="G51" i="3"/>
  <c r="G52" i="3"/>
  <c r="G53" i="3"/>
  <c r="G54" i="3"/>
  <c r="H54" i="3" s="1"/>
  <c r="G55" i="3"/>
  <c r="G57" i="3"/>
  <c r="G58" i="3"/>
  <c r="G60" i="3"/>
  <c r="G61" i="3"/>
  <c r="G62" i="3"/>
  <c r="H62" i="3" s="1"/>
  <c r="G63" i="3"/>
  <c r="G65" i="3"/>
  <c r="G66" i="3"/>
  <c r="G67" i="3"/>
  <c r="H67" i="3" s="1"/>
  <c r="G68" i="3"/>
  <c r="G69" i="3"/>
  <c r="G70" i="3"/>
  <c r="H70" i="3" s="1"/>
  <c r="G71" i="3"/>
  <c r="G73" i="3"/>
  <c r="G74" i="3"/>
  <c r="G75" i="3"/>
  <c r="G76" i="3"/>
  <c r="G77" i="3"/>
  <c r="G78" i="3"/>
  <c r="H78" i="3" s="1"/>
  <c r="G79" i="3"/>
  <c r="G81" i="3"/>
  <c r="G82" i="3"/>
  <c r="G83" i="3"/>
  <c r="G84" i="3"/>
  <c r="G85" i="3"/>
  <c r="G86" i="3"/>
  <c r="H86" i="3" s="1"/>
  <c r="G87" i="3"/>
  <c r="G89" i="3"/>
  <c r="G90" i="3"/>
  <c r="G91" i="3"/>
  <c r="G92" i="3"/>
  <c r="G93" i="3"/>
  <c r="G94" i="3"/>
  <c r="H94" i="3" s="1"/>
  <c r="G95" i="3"/>
  <c r="G96" i="3"/>
  <c r="G97" i="3"/>
  <c r="G98" i="3"/>
  <c r="G99" i="3"/>
  <c r="G100" i="3"/>
  <c r="G101" i="3"/>
  <c r="G102" i="3"/>
  <c r="H102" i="3" s="1"/>
  <c r="G103" i="3"/>
  <c r="G105" i="3"/>
  <c r="G106" i="3"/>
  <c r="G107" i="3"/>
  <c r="G108" i="3"/>
  <c r="G109" i="3"/>
  <c r="G110" i="3"/>
  <c r="H110" i="3" s="1"/>
  <c r="G111" i="3"/>
  <c r="G113" i="3"/>
  <c r="G114" i="3"/>
  <c r="G115" i="3"/>
  <c r="G116" i="3"/>
  <c r="G117" i="3"/>
  <c r="G118" i="3"/>
  <c r="H118" i="3" s="1"/>
  <c r="G119" i="3"/>
  <c r="G121" i="3"/>
  <c r="G122" i="3"/>
  <c r="G123" i="3"/>
  <c r="H2" i="3"/>
  <c r="H3" i="3"/>
  <c r="H4" i="3"/>
  <c r="H5" i="3"/>
  <c r="H7" i="3"/>
  <c r="H9" i="3"/>
  <c r="H10" i="3"/>
  <c r="H11" i="3"/>
  <c r="H12" i="3"/>
  <c r="H13" i="3"/>
  <c r="H15" i="3"/>
  <c r="H17" i="3"/>
  <c r="H18" i="3"/>
  <c r="H19" i="3"/>
  <c r="H20" i="3"/>
  <c r="H21" i="3"/>
  <c r="H23" i="3"/>
  <c r="H25" i="3"/>
  <c r="H26" i="3"/>
  <c r="H27" i="3"/>
  <c r="H28" i="3"/>
  <c r="H29" i="3"/>
  <c r="H31" i="3"/>
  <c r="H33" i="3"/>
  <c r="H34" i="3"/>
  <c r="H35" i="3"/>
  <c r="H36" i="3"/>
  <c r="H37" i="3"/>
  <c r="H39" i="3"/>
  <c r="H41" i="3"/>
  <c r="H42" i="3"/>
  <c r="H43" i="3"/>
  <c r="H44" i="3"/>
  <c r="H45" i="3"/>
  <c r="H47" i="3"/>
  <c r="H49" i="3"/>
  <c r="H50" i="3"/>
  <c r="H51" i="3"/>
  <c r="H52" i="3"/>
  <c r="H53" i="3"/>
  <c r="H55" i="3"/>
  <c r="H57" i="3"/>
  <c r="H58" i="3"/>
  <c r="H60" i="3"/>
  <c r="H61" i="3"/>
  <c r="H63" i="3"/>
  <c r="H65" i="3"/>
  <c r="H66" i="3"/>
  <c r="H68" i="3"/>
  <c r="H69" i="3"/>
  <c r="H71" i="3"/>
  <c r="H73" i="3"/>
  <c r="H74" i="3"/>
  <c r="H75" i="3"/>
  <c r="H76" i="3"/>
  <c r="H77" i="3"/>
  <c r="H79" i="3"/>
  <c r="H81" i="3"/>
  <c r="H82" i="3"/>
  <c r="H83" i="3"/>
  <c r="H84" i="3"/>
  <c r="H85" i="3"/>
  <c r="H87" i="3"/>
  <c r="H89" i="3"/>
  <c r="H90" i="3"/>
  <c r="H91" i="3"/>
  <c r="H92" i="3"/>
  <c r="H93" i="3"/>
  <c r="H95" i="3"/>
  <c r="H96" i="3"/>
  <c r="H97" i="3"/>
  <c r="H98" i="3"/>
  <c r="H99" i="3"/>
  <c r="H100" i="3"/>
  <c r="H101" i="3"/>
  <c r="H103" i="3"/>
  <c r="H105" i="3"/>
  <c r="H106" i="3"/>
  <c r="H107" i="3"/>
  <c r="H108" i="3"/>
  <c r="H109" i="3"/>
  <c r="H111" i="3"/>
  <c r="H113" i="3"/>
  <c r="H114" i="3"/>
  <c r="H115" i="3"/>
  <c r="H116" i="3"/>
  <c r="H117" i="3"/>
  <c r="H119" i="3"/>
  <c r="H121" i="3"/>
  <c r="H122" i="3"/>
  <c r="H123" i="3"/>
  <c r="E7" i="4" l="1"/>
  <c r="E6" i="4"/>
  <c r="E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<sst xmlns="http://schemas.openxmlformats.org/spreadsheetml/2006/main" count="675" uniqueCount="316">
  <si>
    <t>Date</t>
  </si>
  <si>
    <t>Account</t>
  </si>
  <si>
    <t>Memo</t>
  </si>
  <si>
    <t>DocNo</t>
  </si>
  <si>
    <t>Amount</t>
  </si>
  <si>
    <t>CHQ#1064</t>
  </si>
  <si>
    <t>CHQ#1042</t>
  </si>
  <si>
    <t>REF40771</t>
  </si>
  <si>
    <t>REF40144</t>
  </si>
  <si>
    <t>REF40486</t>
  </si>
  <si>
    <t>CHQ#1051</t>
  </si>
  <si>
    <t>REF40191</t>
  </si>
  <si>
    <t>REF40276</t>
  </si>
  <si>
    <t>REF40442</t>
  </si>
  <si>
    <t>REF40398</t>
  </si>
  <si>
    <t>CHQ#1048</t>
  </si>
  <si>
    <t>REF40826</t>
  </si>
  <si>
    <t>REF40587</t>
  </si>
  <si>
    <t>REF40128</t>
  </si>
  <si>
    <t>REF40326</t>
  </si>
  <si>
    <t>CHQ#1077</t>
  </si>
  <si>
    <t>REF40634</t>
  </si>
  <si>
    <t>REF40334</t>
  </si>
  <si>
    <t>REF40539</t>
  </si>
  <si>
    <t>REF40379</t>
  </si>
  <si>
    <t>REF40527</t>
  </si>
  <si>
    <t>REF40561</t>
  </si>
  <si>
    <t>CHQ#1053</t>
  </si>
  <si>
    <t>REF40206</t>
  </si>
  <si>
    <t>REF40816</t>
  </si>
  <si>
    <t>CHQ#1058</t>
  </si>
  <si>
    <t>REF40652</t>
  </si>
  <si>
    <t>REF40596</t>
  </si>
  <si>
    <t>CHQ#1063</t>
  </si>
  <si>
    <t>CHQ#1073</t>
  </si>
  <si>
    <t>REF40466</t>
  </si>
  <si>
    <t>REF40514</t>
  </si>
  <si>
    <t>REF40432</t>
  </si>
  <si>
    <t>CHQ#1050</t>
  </si>
  <si>
    <t>CHQ#1070</t>
  </si>
  <si>
    <t>REF40600</t>
  </si>
  <si>
    <t>REF40211</t>
  </si>
  <si>
    <t>CHQ#1060</t>
  </si>
  <si>
    <t>CHQ#1065</t>
  </si>
  <si>
    <t>REF40123</t>
  </si>
  <si>
    <t>REF40147</t>
  </si>
  <si>
    <t>CHQ#1076</t>
  </si>
  <si>
    <t>CHQ#1062</t>
  </si>
  <si>
    <t>CHQ#1072</t>
  </si>
  <si>
    <t>REF40786</t>
  </si>
  <si>
    <t>CHQ#1068</t>
  </si>
  <si>
    <t>CHQ#1046</t>
  </si>
  <si>
    <t>REF40691</t>
  </si>
  <si>
    <t>REF40158</t>
  </si>
  <si>
    <t>CHQ#1067</t>
  </si>
  <si>
    <t>CHQ#1071</t>
  </si>
  <si>
    <t>REF40638</t>
  </si>
  <si>
    <t>REF40376</t>
  </si>
  <si>
    <t>REF40929</t>
  </si>
  <si>
    <t>CHQ#1044</t>
  </si>
  <si>
    <t>REF40167</t>
  </si>
  <si>
    <t>REF40721</t>
  </si>
  <si>
    <t>REF40412</t>
  </si>
  <si>
    <t>CHQ#1054</t>
  </si>
  <si>
    <t>REF40659</t>
  </si>
  <si>
    <t>REF40238</t>
  </si>
  <si>
    <t>REF40284</t>
  </si>
  <si>
    <t>CHQ#1043</t>
  </si>
  <si>
    <t>REF40614</t>
  </si>
  <si>
    <t>CHQ#1047</t>
  </si>
  <si>
    <t>CHQ#1056</t>
  </si>
  <si>
    <t>REF40337</t>
  </si>
  <si>
    <t>CHQ#1052</t>
  </si>
  <si>
    <t>REF40451</t>
  </si>
  <si>
    <t>REF40736</t>
  </si>
  <si>
    <t>CHQ#1057</t>
  </si>
  <si>
    <t>CHQ#1074</t>
  </si>
  <si>
    <t>REF40219</t>
  </si>
  <si>
    <t>CHQ#1049</t>
  </si>
  <si>
    <t>Cogeco underground build</t>
  </si>
  <si>
    <t>REF40357</t>
  </si>
  <si>
    <t>REF40580</t>
  </si>
  <si>
    <t>REF40295</t>
  </si>
  <si>
    <t>CHQ#1078</t>
  </si>
  <si>
    <t>REF40833</t>
  </si>
  <si>
    <t>CHQ#1055</t>
  </si>
  <si>
    <t>REF40260</t>
  </si>
  <si>
    <t>CHQ#1066</t>
  </si>
  <si>
    <t>REF40504</t>
  </si>
  <si>
    <t>REF40408</t>
  </si>
  <si>
    <t>REF40918</t>
  </si>
  <si>
    <t>REF40270</t>
  </si>
  <si>
    <t>REF40547</t>
  </si>
  <si>
    <t>CHQ#1069</t>
  </si>
  <si>
    <t>REF40901</t>
  </si>
  <si>
    <t>CHQ#1061</t>
  </si>
  <si>
    <t>REF40229</t>
  </si>
  <si>
    <t>REF40249</t>
  </si>
  <si>
    <t>REF40181</t>
  </si>
  <si>
    <t>REF40801</t>
  </si>
  <si>
    <t>CHQ#1059</t>
  </si>
  <si>
    <t>CHQ#1075</t>
  </si>
  <si>
    <t>REF40608</t>
  </si>
  <si>
    <t>REF40884</t>
  </si>
  <si>
    <t>REF40618</t>
  </si>
  <si>
    <t>REF40865</t>
  </si>
  <si>
    <t>REF40752</t>
  </si>
  <si>
    <t>REF40314</t>
  </si>
  <si>
    <t>REF40780</t>
  </si>
  <si>
    <t>REF40425</t>
  </si>
  <si>
    <t>REF40163</t>
  </si>
  <si>
    <t>REF40348</t>
  </si>
  <si>
    <t>REF40542</t>
  </si>
  <si>
    <t>CHQ#1045</t>
  </si>
  <si>
    <t>REF40281</t>
  </si>
  <si>
    <t>CHQ#1079</t>
  </si>
  <si>
    <t>REF40482</t>
  </si>
  <si>
    <t>REF40675</t>
  </si>
  <si>
    <t>REF40706</t>
  </si>
  <si>
    <t>REF40341</t>
  </si>
  <si>
    <t>REF40716</t>
  </si>
  <si>
    <t>REF40852</t>
  </si>
  <si>
    <t>CHQ#1081</t>
  </si>
  <si>
    <t>CHQ#1080</t>
  </si>
  <si>
    <t>CHQ#1082</t>
  </si>
  <si>
    <t>REF40957</t>
  </si>
  <si>
    <t>REF40947</t>
  </si>
  <si>
    <t>Description</t>
  </si>
  <si>
    <t>Reference</t>
  </si>
  <si>
    <t>CHEQUE 1042</t>
  </si>
  <si>
    <t>CHEQUE 1064</t>
  </si>
  <si>
    <t>DEP ROGERS COMM AP REF40771</t>
  </si>
  <si>
    <t>PAD SHELL FLEET REF40144</t>
  </si>
  <si>
    <t>CHEQUE 1051</t>
  </si>
  <si>
    <t>DEP TELUS COMM AP REF40191</t>
  </si>
  <si>
    <t>PAD ENTERPRISE FLEET REF40486</t>
  </si>
  <si>
    <t>CHEQUE 1048</t>
  </si>
  <si>
    <t>DEP ROGERS COMM AP REF40398</t>
  </si>
  <si>
    <t>EFT BRANDT TRACTOR REF40276</t>
  </si>
  <si>
    <t>PAD MILTON HYDRO REF40442</t>
  </si>
  <si>
    <t>EFT BELL CDA PAYMENT REF40826</t>
  </si>
  <si>
    <t>EFT BRANDT TRACTOR REF40587</t>
  </si>
  <si>
    <t>EFT WESCO DIST REF40326</t>
  </si>
  <si>
    <t>PAD SHELL FLEET REF40128</t>
  </si>
  <si>
    <t>DEP BELL CDA AP REF40634</t>
  </si>
  <si>
    <t>PAD GFL ENVIRONMENTAL REF40334</t>
  </si>
  <si>
    <t>PAD SHELL FLEET REF40539</t>
  </si>
  <si>
    <t>CHEQUE 1050</t>
  </si>
  <si>
    <t>CHEQUE 1053</t>
  </si>
  <si>
    <t>CHEQUE 1058</t>
  </si>
  <si>
    <t>CHEQUE 1063</t>
  </si>
  <si>
    <t>DEP BELL CDA AP REF40527</t>
  </si>
  <si>
    <t>DEP BELL CDA AP REF40561</t>
  </si>
  <si>
    <t>EFT BELL CDA PAYMENT REF40379</t>
  </si>
  <si>
    <t>EFT TELECON DESIGN REF40514</t>
  </si>
  <si>
    <t>PAD ENTERPRISE FLEET REF40206</t>
  </si>
  <si>
    <t>PAD ENTERPRISE FLEET REF40816</t>
  </si>
  <si>
    <t>PAD INTACT INS REF40652</t>
  </si>
  <si>
    <t>PAD PETROCAN SUPERPASS REF40596</t>
  </si>
  <si>
    <t>PAD UNITED RENTALS REF40432</t>
  </si>
  <si>
    <t>POS STAPLES BUS ADV REF40466</t>
  </si>
  <si>
    <t>CHEQUE 1060</t>
  </si>
  <si>
    <t>CHEQUE 1062</t>
  </si>
  <si>
    <t>CHEQUE 1065</t>
  </si>
  <si>
    <t>CHEQUE 1073</t>
  </si>
  <si>
    <t>CHEQUE 1077</t>
  </si>
  <si>
    <t>DEP BELL CDA AP REF40600</t>
  </si>
  <si>
    <t>DEP ROGERS COMM AP REF40123</t>
  </si>
  <si>
    <t>PAD INTACT INS REF40211</t>
  </si>
  <si>
    <t>PAD SHELL FLEET REF40147</t>
  </si>
  <si>
    <t>PAD GFL ENVIRONMENTAL SVC REF40929</t>
  </si>
  <si>
    <t>CHEQUE 1046</t>
  </si>
  <si>
    <t>CHEQUE 1076</t>
  </si>
  <si>
    <t>DEP ROGERS COMM AP REF40691</t>
  </si>
  <si>
    <t>DEP TELUS COMM AP REF40158</t>
  </si>
  <si>
    <t>PAD INTACT INS REF40786</t>
  </si>
  <si>
    <t>CHEQUE 1044</t>
  </si>
  <si>
    <t>CHEQUE 1070</t>
  </si>
  <si>
    <t>CHEQUE 1072</t>
  </si>
  <si>
    <t>EFT BRANDT TRACTOR REF40638</t>
  </si>
  <si>
    <t>PAD ENTERPRISE FLEET REF40376</t>
  </si>
  <si>
    <t>POS STAPLES BUS ADV REF40167</t>
  </si>
  <si>
    <t>CHEQUE 1043</t>
  </si>
  <si>
    <t>CHEQUE 1047</t>
  </si>
  <si>
    <t>CHEQUE 1054</t>
  </si>
  <si>
    <t>CHEQUE 1067</t>
  </si>
  <si>
    <t>CHEQUE 1068</t>
  </si>
  <si>
    <t>CHEQUE 1071</t>
  </si>
  <si>
    <t>EFT BELL CDA PAYMENT REF40721</t>
  </si>
  <si>
    <t>EFT ROGERS COMM REF40238</t>
  </si>
  <si>
    <t>EFT VERMEER CDA REF40614</t>
  </si>
  <si>
    <t>PAD MILTON HYDRO REF40659</t>
  </si>
  <si>
    <t>POS HOME DEPOT PRO REF40412</t>
  </si>
  <si>
    <t>POS STAPLES BUS ADV REF40284</t>
  </si>
  <si>
    <t>CHEQUE 1052</t>
  </si>
  <si>
    <t>CHEQUE 1056</t>
  </si>
  <si>
    <t>DEP ROGERS COMM AP REF40337</t>
  </si>
  <si>
    <t>DEP TELUS COMM AP REF40451</t>
  </si>
  <si>
    <t>CHEQUE 1057</t>
  </si>
  <si>
    <t>DEP BELL CDA AP REF40736</t>
  </si>
  <si>
    <t>PAD SHELL FLEET CARD SVC REF40833</t>
  </si>
  <si>
    <t>ADP PAYROLL PPD REF40219</t>
  </si>
  <si>
    <t>CHEQUE 1049</t>
  </si>
  <si>
    <t>CHEQUE 1055</t>
  </si>
  <si>
    <t>CHEQUE 1074</t>
  </si>
  <si>
    <t>DEP COGECO CONNEXION REF40357</t>
  </si>
  <si>
    <t>DEP ROGERS COMM AP REF40295</t>
  </si>
  <si>
    <t>DEP TELUS COMM AP REF40260</t>
  </si>
  <si>
    <t>NSF RETURNED ITEM FEE</t>
  </si>
  <si>
    <t>NSF-0618</t>
  </si>
  <si>
    <t>PAD ENTERPRISE FLEET REF40580</t>
  </si>
  <si>
    <t>PAD MILTON HYDRO UTIL REF40918</t>
  </si>
  <si>
    <t>CHEQUE 1066</t>
  </si>
  <si>
    <t>DEP BELL CDA AP REF40504</t>
  </si>
  <si>
    <t>EFT BRANDT TRACTOR REF40408</t>
  </si>
  <si>
    <t>EFT REGION HALTON PERMIT REF40270</t>
  </si>
  <si>
    <t>EFT VERMEER CDA REF40547</t>
  </si>
  <si>
    <t>CHEQUE 1059</t>
  </si>
  <si>
    <t>CHEQUE 1061</t>
  </si>
  <si>
    <t>CHEQUE 1078</t>
  </si>
  <si>
    <t>CHQ DITCH WITCH ONT REF40249</t>
  </si>
  <si>
    <t>DEP COGECO CONNEXION REF40229</t>
  </si>
  <si>
    <t>EFT ANIXTER CDA SUPPLY REF40901</t>
  </si>
  <si>
    <t>EFT WSIB ONT PREMIUM REF40608</t>
  </si>
  <si>
    <t>MERCHANT PROCESSING FEE MONERIS</t>
  </si>
  <si>
    <t>MER-0622</t>
  </si>
  <si>
    <t>PAD ENTERPRISE FLEET REF40181</t>
  </si>
  <si>
    <t>PAD ENTERPRISE FLEET REF40801</t>
  </si>
  <si>
    <t>PAD INTACT INSURANCE PREM REF40884</t>
  </si>
  <si>
    <t>PAD UNITED RENTALS INC REF40865</t>
  </si>
  <si>
    <t>EFT TELECON DESIGN REF40618</t>
  </si>
  <si>
    <t>ADP PAYROLL PPD REF40752</t>
  </si>
  <si>
    <t>CHEQUE 1075</t>
  </si>
  <si>
    <t>DEP ROGERS COMM AP REF40425</t>
  </si>
  <si>
    <t>EFT BELL CDA PAYMENT REF40314</t>
  </si>
  <si>
    <t>EFT WESCO DIST CANADA REF40852</t>
  </si>
  <si>
    <t>PAD MILTON HYDRO REF40780</t>
  </si>
  <si>
    <t>CHEQUE 1045</t>
  </si>
  <si>
    <t>CHEQUE 1069</t>
  </si>
  <si>
    <t>CHQ DITCH WITCH ONT REF40348</t>
  </si>
  <si>
    <t>EFT BRANDT TRACTOR REF40163</t>
  </si>
  <si>
    <t>EFT VERMEER CDA REF40542</t>
  </si>
  <si>
    <t>PRE-AUTH DEBIT UNKNOWN ORIG 7719</t>
  </si>
  <si>
    <t>PAD-7719</t>
  </si>
  <si>
    <t>E-TRANSFER RECEIVED T4X99A</t>
  </si>
  <si>
    <t>ETR-T4X99A</t>
  </si>
  <si>
    <t>EFT BRANDT TRACTOR REF40281</t>
  </si>
  <si>
    <t>EFT VERMEER CDA REF40716</t>
  </si>
  <si>
    <t>PAD PETROCAN SUPERPASS REF40482</t>
  </si>
  <si>
    <t>PAD SHELL FLEET REF40675</t>
  </si>
  <si>
    <t>PAD SHELL FLEET REF40706</t>
  </si>
  <si>
    <t>PAD UNITED RENTALS REF40341</t>
  </si>
  <si>
    <t>INTEREST EARNED</t>
  </si>
  <si>
    <t>INT-JUN</t>
  </si>
  <si>
    <t>MONTHLY ACCOUNT FEE</t>
  </si>
  <si>
    <t>SVC-JUN</t>
  </si>
  <si>
    <t>SERVICE CHARGE - WIRE PAYMENT</t>
  </si>
  <si>
    <t>WIRE-FEE</t>
  </si>
  <si>
    <t>1010 Cash Operating</t>
  </si>
  <si>
    <t>Milton Hydro invoice payment</t>
  </si>
  <si>
    <t>Region of Halton invoice payment</t>
  </si>
  <si>
    <t>Rogers Communications progress billing</t>
  </si>
  <si>
    <t>Shell Fleet Card invoice payment</t>
  </si>
  <si>
    <t>Enterprise Fleet Mgmt invoice payment</t>
  </si>
  <si>
    <t>Telecon Design invoice payment</t>
  </si>
  <si>
    <t>Telus network build milestone</t>
  </si>
  <si>
    <t>Brandt Tractor Ltd invoice payment</t>
  </si>
  <si>
    <t>Bell Canada invoice payment</t>
  </si>
  <si>
    <t>WESCO Distribution invoice payment</t>
  </si>
  <si>
    <t>Bell aerial build holdback release</t>
  </si>
  <si>
    <t>GFL Environmental invoice payment</t>
  </si>
  <si>
    <t>Ditch Witch of Ontario invoice payment</t>
  </si>
  <si>
    <t>Intact Insurance invoice payment</t>
  </si>
  <si>
    <t>Petro-Canada SuperPass invoice payment</t>
  </si>
  <si>
    <t>Rogers Communications invoice payment</t>
  </si>
  <si>
    <t>Staples Business invoice payment</t>
  </si>
  <si>
    <t>United Rentals invoice payment</t>
  </si>
  <si>
    <t>Vermeer Canada invoice payment</t>
  </si>
  <si>
    <t>Home Depot Pro invoice payment</t>
  </si>
  <si>
    <t>WSIB Ontario invoice payment</t>
  </si>
  <si>
    <t>ADP Payroll invoice payment</t>
  </si>
  <si>
    <t>Anixter Canada invoice payment</t>
  </si>
  <si>
    <t>Ditch Witch of Ontario parts invoice</t>
  </si>
  <si>
    <t>Region of Halton road permit fees</t>
  </si>
  <si>
    <t>Vermeer Canada drill head rebuild</t>
  </si>
  <si>
    <t>Brandt Tractor Ltd service invoice</t>
  </si>
  <si>
    <t>GL Count</t>
  </si>
  <si>
    <t>GL Amount</t>
  </si>
  <si>
    <t>Difference</t>
  </si>
  <si>
    <t>Status</t>
  </si>
  <si>
    <t>Occurrence</t>
  </si>
  <si>
    <t>Bank Amount</t>
  </si>
  <si>
    <t>Adjusted Cash Book – June 2026</t>
  </si>
  <si>
    <t>Net movement basis (no opening/closing balances available). Where GL and bank amounts differ, the bank amount is assumed correct.</t>
  </si>
  <si>
    <t>Item</t>
  </si>
  <si>
    <t>Per schedule</t>
  </si>
  <si>
    <t>Net cash book movement per GL (June)</t>
  </si>
  <si>
    <t>Add/(less): bank items not recorded in cash book (Sch. A)</t>
  </si>
  <si>
    <t>Add: reverse duplicate GL postings (Sch. B)</t>
  </si>
  <si>
    <t>Add/(less): correct GL amount errors to bank (Sch. C)</t>
  </si>
  <si>
    <t>Adjusted cash book movement</t>
  </si>
  <si>
    <t>Schedule A – Bank items not recorded in cash book</t>
  </si>
  <si>
    <t>Schedule B – Duplicate GL postings to reverse</t>
  </si>
  <si>
    <t>Reversal</t>
  </si>
  <si>
    <t>Schedule C – GL amount errors (correct to bank amount)</t>
  </si>
  <si>
    <t>Correction</t>
  </si>
  <si>
    <t>Bank Reconciliation Statement – June 2026</t>
  </si>
  <si>
    <t>Net movement basis (no opening/closing balances available).</t>
  </si>
  <si>
    <t>Net bank movement per statement (June)</t>
  </si>
  <si>
    <t>Add: deposits in transit (Sch. 1)</t>
  </si>
  <si>
    <t>Less: outstanding cheques / payments (Sch. 2)</t>
  </si>
  <si>
    <t>Adjusted bank movement</t>
  </si>
  <si>
    <t>Adjusted cash book movement (per Adjusted Cash Book)</t>
  </si>
  <si>
    <t>Unreconciled difference</t>
  </si>
  <si>
    <t>Schedule 1 – Deposits in transit</t>
  </si>
  <si>
    <t>Schedule 2 – Outstanding cheques /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</si>
</sst>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\-"/>
    <numFmt numFmtId="165" formatCode="yyyy\-mm\-dd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8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1" fillId="0" borderId="1" xfId="0" applyFont="1" applyBorder="1"/>
    <xf numFmtId="164" fontId="1" fillId="0" borderId="1" xfId="0" applyNumberFormat="1" applyFont="1" applyBorder="1"/>
    <xf numFmtId="165" fontId="0" fillId="0" borderId="0" xfId="0" applyNumberFormat="1"/>
    <xf numFmtId="164" fontId="5" fillId="0" borderId="0" xfId="0" applyNumberFormat="1" applyFont="1"/>
    <xf numFmtId="165" fontId="1" fillId="0" borderId="0" xfId="0" applyNumberFormat="1" applyFont="1"/>
    <xf numFmtId="165" fontId="4" fillId="2" borderId="0" xfId="0" applyNumberFormat="1" applyFont="1" applyFill="1"/>
    <xf numFmtId="164" fontId="4" fillId="2" borderId="0" xfId="0" applyNumberFormat="1" applyFont="1" applyFill="1"/>
  </cellXfs>
  <cellStyles count="1">
    <cellStyle name="Normal" xfId="0" builtinId="0"/>
  </cellStyles>
  <dxfs count="16"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numFmt numFmtId="164" formatCode="#,##0.00;\(#,##0.00\);\-"/>
    </dxf>
    <dxf>
      <numFmt numFmtId="164" formatCode="#,##0.00;\(#,##0.00\);\-"/>
    </dxf>
    <dxf>
      <numFmt numFmtId="164" formatCode="#,##0.00;\(#,##0.00\);\-"/>
    </dxf>
    <dxf>
      <numFmt numFmtId="164" formatCode="#,##0.00;\(#,##0.00\);\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m/d/yyyy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19D356-15DC-4649-BD97-D15BD9F8EAE4}" name="Table2" displayName="Table2" ref="A1:H123" totalsRowShown="0" headerRowDxfId="10">
  <autoFilter ref="A1:H123" xr:uid="{DA19D356-15DC-4649-BD97-D15BD9F8EAE4}"/>
  <tableColumns count="8">
    <tableColumn id="1" xr3:uid="{2B00109C-70A4-473E-BFED-0121ADCC843F}" name="Date" dataDxfId="11"/>
    <tableColumn id="2" xr3:uid="{3407630E-FF64-4916-A1A1-E008C97EFCD8}" name="Description"/>
    <tableColumn id="3" xr3:uid="{8CD5EEE3-5A9D-4396-A167-720604239F2F}" name="Reference"/>
    <tableColumn id="4" xr3:uid="{481FB170-2868-4676-A194-DF55E9482ECC}" name="Amount"/>
    <tableColumn id="5" xr3:uid="{3DE5DA08-4D6F-4392-86BC-FE5910FE2D80}" name="GL Count" dataDxfId="9">
      <calculatedColumnFormula>COUNTIFS(Table1[DocNo],Table2[[#This Row],[Reference]])</calculatedColumnFormula>
    </tableColumn>
    <tableColumn id="6" xr3:uid="{E9E2D056-7B0F-435E-8726-09AB42992069}" name="GL Amount" dataDxfId="5">
      <calculatedColumnFormula>IFERROR(INDEX(Table1[Amount],MATCH(Table2[[#This Row],[Reference]],Table1[DocNo],0)),0)</calculatedColumnFormula>
    </tableColumn>
    <tableColumn id="7" xr3:uid="{BB62918A-C602-4285-9157-AEFB71611AA1}" name="Difference" dataDxfId="4">
      <calculatedColumnFormula>IF(Table2[[#This Row],[GL Count]]=0,0,ROUND(Table2[[#This Row],[Amount]]-Table2[[#This Row],[GL Amount]],2))</calculatedColumnFormula>
    </tableColumn>
    <tableColumn id="8" xr3:uid="{D8DA2912-B11D-4355-80A6-A1D915DC98CA}" name="Status" dataDxfId="8">
      <calculatedColumnFormula>IF(Table2[[#This Row],[GL Count]]=0,"Bank only",IF(Table2[[#This Row],[Difference]]&lt;&gt;0,"Amount difference","Matched"))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06FCAA-11AD-4F9E-92E0-ACC1F8ED829D}" name="Table1" displayName="Table1" ref="A1:I123" totalsRowShown="0" headerRowDxfId="12">
  <autoFilter ref="A1:I123" xr:uid="{4106FCAA-11AD-4F9E-92E0-ACC1F8ED829D}"/>
  <tableColumns count="9">
    <tableColumn id="1" xr3:uid="{5F83110A-BC36-48D2-A56B-5B438827EADA}" name="Date" dataDxfId="13"/>
    <tableColumn id="2" xr3:uid="{85E93262-CBC5-4235-8A4A-0E3EC52FF02D}" name="Account"/>
    <tableColumn id="3" xr3:uid="{57A6F49F-4A54-4097-833C-1F265E553201}" name="Memo"/>
    <tableColumn id="4" xr3:uid="{A2FF5579-4633-4718-985A-A950B68FDCC2}" name="DocNo"/>
    <tableColumn id="5" xr3:uid="{1ED77D59-91A8-494A-9094-557530649FBB}" name="Amount"/>
    <tableColumn id="6" xr3:uid="{7C52C8B1-86A2-4162-A7E2-939ECA6F27F5}" name="Occurrence" dataDxfId="7">
      <calculatedColumnFormula>COUNTIF(INDEX(Table1[DocNo],1):Table1[[#This Row],[DocNo]],Table1[[#This Row],[DocNo]])</calculatedColumnFormula>
    </tableColumn>
    <tableColumn id="7" xr3:uid="{3B6874F8-6285-4C86-B63A-988368876EAA}" name="Bank Amount" dataDxfId="3">
      <calculatedColumnFormula>IFERROR(INDEX(Table2[Amount],MATCH(Table1[[#This Row],[DocNo]],Table2[Reference],0)),0)</calculatedColumnFormula>
    </tableColumn>
    <tableColumn id="8" xr3:uid="{62E21DEC-4C3E-4FB3-A632-36DEEB0A00D5}" name="Difference" dataDxfId="2">
      <calculatedColumnFormula>IF(COUNTIFS(Table2[Reference],Table1[[#This Row],[DocNo]])=0,0,ROUND(Table1[[#This Row],[Bank Amount]]-Table1[[#This Row],[Amount]],2))</calculatedColumnFormula>
    </tableColumn>
    <tableColumn id="9" xr3:uid="{F0C97E8D-769E-4E6E-B94E-AA43F32A0F85}" name="Status" dataDxfId="6">
      <calculatedColumnFormula>IF(Table1[[#This Row],[Occurrence]]&gt;1,"Duplicate",IF(COUNTIFS(Table2[Reference],Table1[[#This Row],[DocNo]])=0,"GL only",IF(Table1[[#This Row],[Difference]]&lt;&gt;0,"Amount difference","Matched")))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5C2931B-8913-4A78-B33D-881396A6487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5ad80358-cb6b-45d6-ae6b-cba7011bd38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1560F-7F56-4BA6-8F50-E5B6540DD5E6}">
  <dimension ref="A1:H123"/>
  <sheetViews>
    <sheetView tabSelected="1" workbookViewId="0">
      <selection activeCell="F5" sqref="F5"/>
    </sheetView>
  </sheetViews>
  <sheetFormatPr defaultRowHeight="14.25" x14ac:dyDescent="0.45"/>
  <cols>
    <col min="1" max="1" width="8.9296875" bestFit="1" customWidth="1"/>
    <col min="2" max="2" width="33.6640625" bestFit="1" customWidth="1"/>
    <col min="3" max="3" width="11.265625" bestFit="1" customWidth="1"/>
    <col min="4" max="4" width="9.73046875" bestFit="1" customWidth="1"/>
    <col min="5" max="5" width="10.19921875" bestFit="1" customWidth="1"/>
    <col min="6" max="6" width="11.59765625" bestFit="1" customWidth="1"/>
    <col min="7" max="7" width="11.3984375" bestFit="1" customWidth="1"/>
    <col min="8" max="8" width="15.1328125" bestFit="1" customWidth="1"/>
  </cols>
  <sheetData>
    <row r="1" spans="1:8" s="2" customFormat="1" x14ac:dyDescent="0.45">
      <c r="A1" s="2" t="s">
        <v>0</v>
      </c>
      <c r="B1" s="2" t="s">
        <v>127</v>
      </c>
      <c r="C1" s="2" t="s">
        <v>128</v>
      </c>
      <c r="D1" s="2" t="s">
        <v>4</v>
      </c>
      <c r="E1" s="2" t="s">
        <v>286</v>
      </c>
      <c r="F1" s="2" t="s">
        <v>287</v>
      </c>
      <c r="G1" s="2" t="s">
        <v>288</v>
      </c>
      <c r="H1" s="2" t="s">
        <v>289</v>
      </c>
    </row>
    <row r="2" spans="1:8" x14ac:dyDescent="0.45">
      <c r="A2" s="1">
        <v>46174</v>
      </c>
      <c r="B2" t="s">
        <v>129</v>
      </c>
      <c r="C2" t="s">
        <v>6</v>
      </c>
      <c r="D2">
        <v>-10230.18</v>
      </c>
      <c r="E2">
        <f>COUNTIFS(Table1[DocNo],Table2[[#This Row],[Reference]])</f>
        <v>2</v>
      </c>
      <c r="F2" s="3">
        <f>IFERROR(INDEX(Table1[Amount],MATCH(Table2[[#This Row],[Reference]],Table1[DocNo],0)),0)</f>
        <v>-10230.18</v>
      </c>
      <c r="G2" s="3">
        <f>IF(Table2[[#This Row],[GL Count]]=0,0,ROUND(Table2[[#This Row],[Amount]]-Table2[[#This Row],[GL Amount]],2))</f>
        <v>0</v>
      </c>
      <c r="H2" t="str">
        <f>IF(Table2[[#This Row],[GL Count]]=0,"Bank only",IF(Table2[[#This Row],[Difference]]&lt;&gt;0,"Amount difference","Matched"))</f>
        <v>Matched</v>
      </c>
    </row>
    <row r="3" spans="1:8" x14ac:dyDescent="0.45">
      <c r="A3" s="1">
        <v>46174</v>
      </c>
      <c r="B3" t="s">
        <v>130</v>
      </c>
      <c r="C3" t="s">
        <v>5</v>
      </c>
      <c r="D3">
        <v>-8067.99</v>
      </c>
      <c r="E3">
        <f>COUNTIFS(Table1[DocNo],Table2[[#This Row],[Reference]])</f>
        <v>1</v>
      </c>
      <c r="F3" s="3">
        <f>IFERROR(INDEX(Table1[Amount],MATCH(Table2[[#This Row],[Reference]],Table1[DocNo],0)),0)</f>
        <v>-8067.99</v>
      </c>
      <c r="G3" s="3">
        <f>IF(Table2[[#This Row],[GL Count]]=0,0,ROUND(Table2[[#This Row],[Amount]]-Table2[[#This Row],[GL Amount]],2))</f>
        <v>0</v>
      </c>
      <c r="H3" t="str">
        <f>IF(Table2[[#This Row],[GL Count]]=0,"Bank only",IF(Table2[[#This Row],[Difference]]&lt;&gt;0,"Amount difference","Matched"))</f>
        <v>Matched</v>
      </c>
    </row>
    <row r="4" spans="1:8" x14ac:dyDescent="0.45">
      <c r="A4" s="1">
        <v>46174</v>
      </c>
      <c r="B4" t="s">
        <v>131</v>
      </c>
      <c r="C4" t="s">
        <v>7</v>
      </c>
      <c r="D4">
        <v>88790.68</v>
      </c>
      <c r="E4">
        <f>COUNTIFS(Table1[DocNo],Table2[[#This Row],[Reference]])</f>
        <v>1</v>
      </c>
      <c r="F4" s="3">
        <f>IFERROR(INDEX(Table1[Amount],MATCH(Table2[[#This Row],[Reference]],Table1[DocNo],0)),0)</f>
        <v>88790.68</v>
      </c>
      <c r="G4" s="3">
        <f>IF(Table2[[#This Row],[GL Count]]=0,0,ROUND(Table2[[#This Row],[Amount]]-Table2[[#This Row],[GL Amount]],2))</f>
        <v>0</v>
      </c>
      <c r="H4" t="str">
        <f>IF(Table2[[#This Row],[GL Count]]=0,"Bank only",IF(Table2[[#This Row],[Difference]]&lt;&gt;0,"Amount difference","Matched"))</f>
        <v>Matched</v>
      </c>
    </row>
    <row r="5" spans="1:8" x14ac:dyDescent="0.45">
      <c r="A5" s="1">
        <v>46174</v>
      </c>
      <c r="B5" t="s">
        <v>132</v>
      </c>
      <c r="C5" t="s">
        <v>8</v>
      </c>
      <c r="D5">
        <v>-12217.56</v>
      </c>
      <c r="E5">
        <f>COUNTIFS(Table1[DocNo],Table2[[#This Row],[Reference]])</f>
        <v>1</v>
      </c>
      <c r="F5" s="3">
        <f>IFERROR(INDEX(Table1[Amount],MATCH(Table2[[#This Row],[Reference]],Table1[DocNo],0)),0)</f>
        <v>-12217.56</v>
      </c>
      <c r="G5" s="3">
        <f>IF(Table2[[#This Row],[GL Count]]=0,0,ROUND(Table2[[#This Row],[Amount]]-Table2[[#This Row],[GL Amount]],2))</f>
        <v>0</v>
      </c>
      <c r="H5" t="str">
        <f>IF(Table2[[#This Row],[GL Count]]=0,"Bank only",IF(Table2[[#This Row],[Difference]]&lt;&gt;0,"Amount difference","Matched"))</f>
        <v>Matched</v>
      </c>
    </row>
    <row r="6" spans="1:8" x14ac:dyDescent="0.45">
      <c r="A6" s="1">
        <v>46175</v>
      </c>
      <c r="B6" t="s">
        <v>133</v>
      </c>
      <c r="C6" t="s">
        <v>10</v>
      </c>
      <c r="D6">
        <v>-17040.77</v>
      </c>
      <c r="E6">
        <f>COUNTIFS(Table1[DocNo],Table2[[#This Row],[Reference]])</f>
        <v>1</v>
      </c>
      <c r="F6" s="3">
        <f>IFERROR(INDEX(Table1[Amount],MATCH(Table2[[#This Row],[Reference]],Table1[DocNo],0)),0)</f>
        <v>-17040.77</v>
      </c>
      <c r="G6" s="3">
        <f>IF(Table2[[#This Row],[GL Count]]=0,0,ROUND(Table2[[#This Row],[Amount]]-Table2[[#This Row],[GL Amount]],2))</f>
        <v>0</v>
      </c>
      <c r="H6" t="str">
        <f>IF(Table2[[#This Row],[GL Count]]=0,"Bank only",IF(Table2[[#This Row],[Difference]]&lt;&gt;0,"Amount difference","Matched"))</f>
        <v>Matched</v>
      </c>
    </row>
    <row r="7" spans="1:8" x14ac:dyDescent="0.45">
      <c r="A7" s="1">
        <v>46175</v>
      </c>
      <c r="B7" t="s">
        <v>134</v>
      </c>
      <c r="C7" t="s">
        <v>11</v>
      </c>
      <c r="D7">
        <v>88411.47</v>
      </c>
      <c r="E7">
        <f>COUNTIFS(Table1[DocNo],Table2[[#This Row],[Reference]])</f>
        <v>1</v>
      </c>
      <c r="F7" s="3">
        <f>IFERROR(INDEX(Table1[Amount],MATCH(Table2[[#This Row],[Reference]],Table1[DocNo],0)),0)</f>
        <v>88411.47</v>
      </c>
      <c r="G7" s="3">
        <f>IF(Table2[[#This Row],[GL Count]]=0,0,ROUND(Table2[[#This Row],[Amount]]-Table2[[#This Row],[GL Amount]],2))</f>
        <v>0</v>
      </c>
      <c r="H7" t="str">
        <f>IF(Table2[[#This Row],[GL Count]]=0,"Bank only",IF(Table2[[#This Row],[Difference]]&lt;&gt;0,"Amount difference","Matched"))</f>
        <v>Matched</v>
      </c>
    </row>
    <row r="8" spans="1:8" x14ac:dyDescent="0.45">
      <c r="A8" s="1">
        <v>46175</v>
      </c>
      <c r="B8" t="s">
        <v>135</v>
      </c>
      <c r="C8" t="s">
        <v>9</v>
      </c>
      <c r="D8">
        <v>-5365.64</v>
      </c>
      <c r="E8">
        <f>COUNTIFS(Table1[DocNo],Table2[[#This Row],[Reference]])</f>
        <v>1</v>
      </c>
      <c r="F8" s="3">
        <f>IFERROR(INDEX(Table1[Amount],MATCH(Table2[[#This Row],[Reference]],Table1[DocNo],0)),0)</f>
        <v>-5365.64</v>
      </c>
      <c r="G8" s="3">
        <f>IF(Table2[[#This Row],[GL Count]]=0,0,ROUND(Table2[[#This Row],[Amount]]-Table2[[#This Row],[GL Amount]],2))</f>
        <v>0</v>
      </c>
      <c r="H8" t="str">
        <f>IF(Table2[[#This Row],[GL Count]]=0,"Bank only",IF(Table2[[#This Row],[Difference]]&lt;&gt;0,"Amount difference","Matched"))</f>
        <v>Matched</v>
      </c>
    </row>
    <row r="9" spans="1:8" x14ac:dyDescent="0.45">
      <c r="A9" s="1">
        <v>46176</v>
      </c>
      <c r="B9" t="s">
        <v>136</v>
      </c>
      <c r="C9" t="s">
        <v>15</v>
      </c>
      <c r="D9">
        <v>-21094.19</v>
      </c>
      <c r="E9">
        <f>COUNTIFS(Table1[DocNo],Table2[[#This Row],[Reference]])</f>
        <v>1</v>
      </c>
      <c r="F9" s="3">
        <f>IFERROR(INDEX(Table1[Amount],MATCH(Table2[[#This Row],[Reference]],Table1[DocNo],0)),0)</f>
        <v>-21094.19</v>
      </c>
      <c r="G9" s="3">
        <f>IF(Table2[[#This Row],[GL Count]]=0,0,ROUND(Table2[[#This Row],[Amount]]-Table2[[#This Row],[GL Amount]],2))</f>
        <v>0</v>
      </c>
      <c r="H9" t="str">
        <f>IF(Table2[[#This Row],[GL Count]]=0,"Bank only",IF(Table2[[#This Row],[Difference]]&lt;&gt;0,"Amount difference","Matched"))</f>
        <v>Matched</v>
      </c>
    </row>
    <row r="10" spans="1:8" x14ac:dyDescent="0.45">
      <c r="A10" s="1">
        <v>46176</v>
      </c>
      <c r="B10" t="s">
        <v>137</v>
      </c>
      <c r="C10" t="s">
        <v>14</v>
      </c>
      <c r="D10">
        <v>102367.19</v>
      </c>
      <c r="E10">
        <f>COUNTIFS(Table1[DocNo],Table2[[#This Row],[Reference]])</f>
        <v>1</v>
      </c>
      <c r="F10" s="3">
        <f>IFERROR(INDEX(Table1[Amount],MATCH(Table2[[#This Row],[Reference]],Table1[DocNo],0)),0)</f>
        <v>102367.19</v>
      </c>
      <c r="G10" s="3">
        <f>IF(Table2[[#This Row],[GL Count]]=0,0,ROUND(Table2[[#This Row],[Amount]]-Table2[[#This Row],[GL Amount]],2))</f>
        <v>0</v>
      </c>
      <c r="H10" t="str">
        <f>IF(Table2[[#This Row],[GL Count]]=0,"Bank only",IF(Table2[[#This Row],[Difference]]&lt;&gt;0,"Amount difference","Matched"))</f>
        <v>Matched</v>
      </c>
    </row>
    <row r="11" spans="1:8" x14ac:dyDescent="0.45">
      <c r="A11" s="1">
        <v>46176</v>
      </c>
      <c r="B11" t="s">
        <v>138</v>
      </c>
      <c r="C11" t="s">
        <v>12</v>
      </c>
      <c r="D11">
        <v>-12316.92</v>
      </c>
      <c r="E11">
        <f>COUNTIFS(Table1[DocNo],Table2[[#This Row],[Reference]])</f>
        <v>1</v>
      </c>
      <c r="F11" s="3">
        <f>IFERROR(INDEX(Table1[Amount],MATCH(Table2[[#This Row],[Reference]],Table1[DocNo],0)),0)</f>
        <v>-12316.92</v>
      </c>
      <c r="G11" s="3">
        <f>IF(Table2[[#This Row],[GL Count]]=0,0,ROUND(Table2[[#This Row],[Amount]]-Table2[[#This Row],[GL Amount]],2))</f>
        <v>0</v>
      </c>
      <c r="H11" t="str">
        <f>IF(Table2[[#This Row],[GL Count]]=0,"Bank only",IF(Table2[[#This Row],[Difference]]&lt;&gt;0,"Amount difference","Matched"))</f>
        <v>Matched</v>
      </c>
    </row>
    <row r="12" spans="1:8" x14ac:dyDescent="0.45">
      <c r="A12" s="1">
        <v>46176</v>
      </c>
      <c r="B12" t="s">
        <v>139</v>
      </c>
      <c r="C12" t="s">
        <v>13</v>
      </c>
      <c r="D12">
        <v>-20094.18</v>
      </c>
      <c r="E12">
        <f>COUNTIFS(Table1[DocNo],Table2[[#This Row],[Reference]])</f>
        <v>1</v>
      </c>
      <c r="F12" s="3">
        <f>IFERROR(INDEX(Table1[Amount],MATCH(Table2[[#This Row],[Reference]],Table1[DocNo],0)),0)</f>
        <v>-20094.18</v>
      </c>
      <c r="G12" s="3">
        <f>IF(Table2[[#This Row],[GL Count]]=0,0,ROUND(Table2[[#This Row],[Amount]]-Table2[[#This Row],[GL Amount]],2))</f>
        <v>0</v>
      </c>
      <c r="H12" t="str">
        <f>IF(Table2[[#This Row],[GL Count]]=0,"Bank only",IF(Table2[[#This Row],[Difference]]&lt;&gt;0,"Amount difference","Matched"))</f>
        <v>Matched</v>
      </c>
    </row>
    <row r="13" spans="1:8" x14ac:dyDescent="0.45">
      <c r="A13" s="1">
        <v>46177</v>
      </c>
      <c r="B13" t="s">
        <v>140</v>
      </c>
      <c r="C13" t="s">
        <v>16</v>
      </c>
      <c r="D13">
        <v>-4183.58</v>
      </c>
      <c r="E13">
        <f>COUNTIFS(Table1[DocNo],Table2[[#This Row],[Reference]])</f>
        <v>1</v>
      </c>
      <c r="F13" s="3">
        <f>IFERROR(INDEX(Table1[Amount],MATCH(Table2[[#This Row],[Reference]],Table1[DocNo],0)),0)</f>
        <v>-4183.67</v>
      </c>
      <c r="G13" s="3">
        <f>IF(Table2[[#This Row],[GL Count]]=0,0,ROUND(Table2[[#This Row],[Amount]]-Table2[[#This Row],[GL Amount]],2))</f>
        <v>0.09</v>
      </c>
      <c r="H13" t="str">
        <f>IF(Table2[[#This Row],[GL Count]]=0,"Bank only",IF(Table2[[#This Row],[Difference]]&lt;&gt;0,"Amount difference","Matched"))</f>
        <v>Amount difference</v>
      </c>
    </row>
    <row r="14" spans="1:8" x14ac:dyDescent="0.45">
      <c r="A14" s="1">
        <v>46177</v>
      </c>
      <c r="B14" t="s">
        <v>141</v>
      </c>
      <c r="C14" t="s">
        <v>17</v>
      </c>
      <c r="D14">
        <v>-6479.58</v>
      </c>
      <c r="E14">
        <f>COUNTIFS(Table1[DocNo],Table2[[#This Row],[Reference]])</f>
        <v>1</v>
      </c>
      <c r="F14" s="3">
        <f>IFERROR(INDEX(Table1[Amount],MATCH(Table2[[#This Row],[Reference]],Table1[DocNo],0)),0)</f>
        <v>-6479.58</v>
      </c>
      <c r="G14" s="3">
        <f>IF(Table2[[#This Row],[GL Count]]=0,0,ROUND(Table2[[#This Row],[Amount]]-Table2[[#This Row],[GL Amount]],2))</f>
        <v>0</v>
      </c>
      <c r="H14" t="str">
        <f>IF(Table2[[#This Row],[GL Count]]=0,"Bank only",IF(Table2[[#This Row],[Difference]]&lt;&gt;0,"Amount difference","Matched"))</f>
        <v>Matched</v>
      </c>
    </row>
    <row r="15" spans="1:8" x14ac:dyDescent="0.45">
      <c r="A15" s="1">
        <v>46177</v>
      </c>
      <c r="B15" t="s">
        <v>142</v>
      </c>
      <c r="C15" t="s">
        <v>19</v>
      </c>
      <c r="D15">
        <v>-12272.98</v>
      </c>
      <c r="E15">
        <f>COUNTIFS(Table1[DocNo],Table2[[#This Row],[Reference]])</f>
        <v>1</v>
      </c>
      <c r="F15" s="3">
        <f>IFERROR(INDEX(Table1[Amount],MATCH(Table2[[#This Row],[Reference]],Table1[DocNo],0)),0)</f>
        <v>-12272.98</v>
      </c>
      <c r="G15" s="3">
        <f>IF(Table2[[#This Row],[GL Count]]=0,0,ROUND(Table2[[#This Row],[Amount]]-Table2[[#This Row],[GL Amount]],2))</f>
        <v>0</v>
      </c>
      <c r="H15" t="str">
        <f>IF(Table2[[#This Row],[GL Count]]=0,"Bank only",IF(Table2[[#This Row],[Difference]]&lt;&gt;0,"Amount difference","Matched"))</f>
        <v>Matched</v>
      </c>
    </row>
    <row r="16" spans="1:8" x14ac:dyDescent="0.45">
      <c r="A16" s="1">
        <v>46177</v>
      </c>
      <c r="B16" t="s">
        <v>143</v>
      </c>
      <c r="C16" t="s">
        <v>18</v>
      </c>
      <c r="D16">
        <v>-3503.79</v>
      </c>
      <c r="E16">
        <f>COUNTIFS(Table1[DocNo],Table2[[#This Row],[Reference]])</f>
        <v>1</v>
      </c>
      <c r="F16" s="3">
        <f>IFERROR(INDEX(Table1[Amount],MATCH(Table2[[#This Row],[Reference]],Table1[DocNo],0)),0)</f>
        <v>-3503.79</v>
      </c>
      <c r="G16" s="3">
        <f>IF(Table2[[#This Row],[GL Count]]=0,0,ROUND(Table2[[#This Row],[Amount]]-Table2[[#This Row],[GL Amount]],2))</f>
        <v>0</v>
      </c>
      <c r="H16" t="str">
        <f>IF(Table2[[#This Row],[GL Count]]=0,"Bank only",IF(Table2[[#This Row],[Difference]]&lt;&gt;0,"Amount difference","Matched"))</f>
        <v>Matched</v>
      </c>
    </row>
    <row r="17" spans="1:8" x14ac:dyDescent="0.45">
      <c r="A17" s="1">
        <v>46178</v>
      </c>
      <c r="B17" t="s">
        <v>144</v>
      </c>
      <c r="C17" t="s">
        <v>21</v>
      </c>
      <c r="D17">
        <v>77425.86</v>
      </c>
      <c r="E17">
        <f>COUNTIFS(Table1[DocNo],Table2[[#This Row],[Reference]])</f>
        <v>1</v>
      </c>
      <c r="F17" s="3">
        <f>IFERROR(INDEX(Table1[Amount],MATCH(Table2[[#This Row],[Reference]],Table1[DocNo],0)),0)</f>
        <v>77425.86</v>
      </c>
      <c r="G17" s="3">
        <f>IF(Table2[[#This Row],[GL Count]]=0,0,ROUND(Table2[[#This Row],[Amount]]-Table2[[#This Row],[GL Amount]],2))</f>
        <v>0</v>
      </c>
      <c r="H17" t="str">
        <f>IF(Table2[[#This Row],[GL Count]]=0,"Bank only",IF(Table2[[#This Row],[Difference]]&lt;&gt;0,"Amount difference","Matched"))</f>
        <v>Matched</v>
      </c>
    </row>
    <row r="18" spans="1:8" x14ac:dyDescent="0.45">
      <c r="A18" s="1">
        <v>46178</v>
      </c>
      <c r="B18" t="s">
        <v>145</v>
      </c>
      <c r="C18" t="s">
        <v>22</v>
      </c>
      <c r="D18">
        <v>-14685.67</v>
      </c>
      <c r="E18">
        <f>COUNTIFS(Table1[DocNo],Table2[[#This Row],[Reference]])</f>
        <v>1</v>
      </c>
      <c r="F18" s="3">
        <f>IFERROR(INDEX(Table1[Amount],MATCH(Table2[[#This Row],[Reference]],Table1[DocNo],0)),0)</f>
        <v>-14685.67</v>
      </c>
      <c r="G18" s="3">
        <f>IF(Table2[[#This Row],[GL Count]]=0,0,ROUND(Table2[[#This Row],[Amount]]-Table2[[#This Row],[GL Amount]],2))</f>
        <v>0</v>
      </c>
      <c r="H18" t="str">
        <f>IF(Table2[[#This Row],[GL Count]]=0,"Bank only",IF(Table2[[#This Row],[Difference]]&lt;&gt;0,"Amount difference","Matched"))</f>
        <v>Matched</v>
      </c>
    </row>
    <row r="19" spans="1:8" x14ac:dyDescent="0.45">
      <c r="A19" s="1">
        <v>46178</v>
      </c>
      <c r="B19" t="s">
        <v>146</v>
      </c>
      <c r="C19" t="s">
        <v>23</v>
      </c>
      <c r="D19">
        <v>-6506.94</v>
      </c>
      <c r="E19">
        <f>COUNTIFS(Table1[DocNo],Table2[[#This Row],[Reference]])</f>
        <v>1</v>
      </c>
      <c r="F19" s="3">
        <f>IFERROR(INDEX(Table1[Amount],MATCH(Table2[[#This Row],[Reference]],Table1[DocNo],0)),0)</f>
        <v>-6506.94</v>
      </c>
      <c r="G19" s="3">
        <f>IF(Table2[[#This Row],[GL Count]]=0,0,ROUND(Table2[[#This Row],[Amount]]-Table2[[#This Row],[GL Amount]],2))</f>
        <v>0</v>
      </c>
      <c r="H19" t="str">
        <f>IF(Table2[[#This Row],[GL Count]]=0,"Bank only",IF(Table2[[#This Row],[Difference]]&lt;&gt;0,"Amount difference","Matched"))</f>
        <v>Matched</v>
      </c>
    </row>
    <row r="20" spans="1:8" x14ac:dyDescent="0.45">
      <c r="A20" s="1">
        <v>46181</v>
      </c>
      <c r="B20" t="s">
        <v>147</v>
      </c>
      <c r="C20" t="s">
        <v>38</v>
      </c>
      <c r="D20">
        <v>-3062.32</v>
      </c>
      <c r="E20">
        <f>COUNTIFS(Table1[DocNo],Table2[[#This Row],[Reference]])</f>
        <v>1</v>
      </c>
      <c r="F20" s="3">
        <f>IFERROR(INDEX(Table1[Amount],MATCH(Table2[[#This Row],[Reference]],Table1[DocNo],0)),0)</f>
        <v>-3062.32</v>
      </c>
      <c r="G20" s="3">
        <f>IF(Table2[[#This Row],[GL Count]]=0,0,ROUND(Table2[[#This Row],[Amount]]-Table2[[#This Row],[GL Amount]],2))</f>
        <v>0</v>
      </c>
      <c r="H20" t="str">
        <f>IF(Table2[[#This Row],[GL Count]]=0,"Bank only",IF(Table2[[#This Row],[Difference]]&lt;&gt;0,"Amount difference","Matched"))</f>
        <v>Matched</v>
      </c>
    </row>
    <row r="21" spans="1:8" x14ac:dyDescent="0.45">
      <c r="A21" s="1">
        <v>46181</v>
      </c>
      <c r="B21" t="s">
        <v>148</v>
      </c>
      <c r="C21" t="s">
        <v>27</v>
      </c>
      <c r="D21">
        <v>-19414.580000000002</v>
      </c>
      <c r="E21">
        <f>COUNTIFS(Table1[DocNo],Table2[[#This Row],[Reference]])</f>
        <v>1</v>
      </c>
      <c r="F21" s="3">
        <f>IFERROR(INDEX(Table1[Amount],MATCH(Table2[[#This Row],[Reference]],Table1[DocNo],0)),0)</f>
        <v>-19414.580000000002</v>
      </c>
      <c r="G21" s="3">
        <f>IF(Table2[[#This Row],[GL Count]]=0,0,ROUND(Table2[[#This Row],[Amount]]-Table2[[#This Row],[GL Amount]],2))</f>
        <v>0</v>
      </c>
      <c r="H21" t="str">
        <f>IF(Table2[[#This Row],[GL Count]]=0,"Bank only",IF(Table2[[#This Row],[Difference]]&lt;&gt;0,"Amount difference","Matched"))</f>
        <v>Matched</v>
      </c>
    </row>
    <row r="22" spans="1:8" x14ac:dyDescent="0.45">
      <c r="A22" s="1">
        <v>46181</v>
      </c>
      <c r="B22" t="s">
        <v>149</v>
      </c>
      <c r="C22" t="s">
        <v>30</v>
      </c>
      <c r="D22">
        <v>-2088.2600000000002</v>
      </c>
      <c r="E22">
        <f>COUNTIFS(Table1[DocNo],Table2[[#This Row],[Reference]])</f>
        <v>1</v>
      </c>
      <c r="F22" s="3">
        <f>IFERROR(INDEX(Table1[Amount],MATCH(Table2[[#This Row],[Reference]],Table1[DocNo],0)),0)</f>
        <v>-2088.2600000000002</v>
      </c>
      <c r="G22" s="3">
        <f>IF(Table2[[#This Row],[GL Count]]=0,0,ROUND(Table2[[#This Row],[Amount]]-Table2[[#This Row],[GL Amount]],2))</f>
        <v>0</v>
      </c>
      <c r="H22" t="str">
        <f>IF(Table2[[#This Row],[GL Count]]=0,"Bank only",IF(Table2[[#This Row],[Difference]]&lt;&gt;0,"Amount difference","Matched"))</f>
        <v>Matched</v>
      </c>
    </row>
    <row r="23" spans="1:8" x14ac:dyDescent="0.45">
      <c r="A23" s="1">
        <v>46181</v>
      </c>
      <c r="B23" t="s">
        <v>150</v>
      </c>
      <c r="C23" t="s">
        <v>33</v>
      </c>
      <c r="D23">
        <v>-20631.689999999999</v>
      </c>
      <c r="E23">
        <f>COUNTIFS(Table1[DocNo],Table2[[#This Row],[Reference]])</f>
        <v>1</v>
      </c>
      <c r="F23" s="3">
        <f>IFERROR(INDEX(Table1[Amount],MATCH(Table2[[#This Row],[Reference]],Table1[DocNo],0)),0)</f>
        <v>-20631.689999999999</v>
      </c>
      <c r="G23" s="3">
        <f>IF(Table2[[#This Row],[GL Count]]=0,0,ROUND(Table2[[#This Row],[Amount]]-Table2[[#This Row],[GL Amount]],2))</f>
        <v>0</v>
      </c>
      <c r="H23" t="str">
        <f>IF(Table2[[#This Row],[GL Count]]=0,"Bank only",IF(Table2[[#This Row],[Difference]]&lt;&gt;0,"Amount difference","Matched"))</f>
        <v>Matched</v>
      </c>
    </row>
    <row r="24" spans="1:8" x14ac:dyDescent="0.45">
      <c r="A24" s="1">
        <v>46181</v>
      </c>
      <c r="B24" t="s">
        <v>151</v>
      </c>
      <c r="C24" t="s">
        <v>25</v>
      </c>
      <c r="D24">
        <v>109123.56</v>
      </c>
      <c r="E24">
        <f>COUNTIFS(Table1[DocNo],Table2[[#This Row],[Reference]])</f>
        <v>1</v>
      </c>
      <c r="F24" s="3">
        <f>IFERROR(INDEX(Table1[Amount],MATCH(Table2[[#This Row],[Reference]],Table1[DocNo],0)),0)</f>
        <v>109123.56</v>
      </c>
      <c r="G24" s="3">
        <f>IF(Table2[[#This Row],[GL Count]]=0,0,ROUND(Table2[[#This Row],[Amount]]-Table2[[#This Row],[GL Amount]],2))</f>
        <v>0</v>
      </c>
      <c r="H24" t="str">
        <f>IF(Table2[[#This Row],[GL Count]]=0,"Bank only",IF(Table2[[#This Row],[Difference]]&lt;&gt;0,"Amount difference","Matched"))</f>
        <v>Matched</v>
      </c>
    </row>
    <row r="25" spans="1:8" x14ac:dyDescent="0.45">
      <c r="A25" s="1">
        <v>46181</v>
      </c>
      <c r="B25" t="s">
        <v>152</v>
      </c>
      <c r="C25" t="s">
        <v>26</v>
      </c>
      <c r="D25">
        <v>104277.78</v>
      </c>
      <c r="E25">
        <f>COUNTIFS(Table1[DocNo],Table2[[#This Row],[Reference]])</f>
        <v>1</v>
      </c>
      <c r="F25" s="3">
        <f>IFERROR(INDEX(Table1[Amount],MATCH(Table2[[#This Row],[Reference]],Table1[DocNo],0)),0)</f>
        <v>104277.78</v>
      </c>
      <c r="G25" s="3">
        <f>IF(Table2[[#This Row],[GL Count]]=0,0,ROUND(Table2[[#This Row],[Amount]]-Table2[[#This Row],[GL Amount]],2))</f>
        <v>0</v>
      </c>
      <c r="H25" t="str">
        <f>IF(Table2[[#This Row],[GL Count]]=0,"Bank only",IF(Table2[[#This Row],[Difference]]&lt;&gt;0,"Amount difference","Matched"))</f>
        <v>Matched</v>
      </c>
    </row>
    <row r="26" spans="1:8" x14ac:dyDescent="0.45">
      <c r="A26" s="1">
        <v>46181</v>
      </c>
      <c r="B26" t="s">
        <v>153</v>
      </c>
      <c r="C26" t="s">
        <v>24</v>
      </c>
      <c r="D26">
        <v>-14193.51</v>
      </c>
      <c r="E26">
        <f>COUNTIFS(Table1[DocNo],Table2[[#This Row],[Reference]])</f>
        <v>1</v>
      </c>
      <c r="F26" s="3">
        <f>IFERROR(INDEX(Table1[Amount],MATCH(Table2[[#This Row],[Reference]],Table1[DocNo],0)),0)</f>
        <v>-14193.51</v>
      </c>
      <c r="G26" s="3">
        <f>IF(Table2[[#This Row],[GL Count]]=0,0,ROUND(Table2[[#This Row],[Amount]]-Table2[[#This Row],[GL Amount]],2))</f>
        <v>0</v>
      </c>
      <c r="H26" t="str">
        <f>IF(Table2[[#This Row],[GL Count]]=0,"Bank only",IF(Table2[[#This Row],[Difference]]&lt;&gt;0,"Amount difference","Matched"))</f>
        <v>Matched</v>
      </c>
    </row>
    <row r="27" spans="1:8" x14ac:dyDescent="0.45">
      <c r="A27" s="1">
        <v>46181</v>
      </c>
      <c r="B27" t="s">
        <v>154</v>
      </c>
      <c r="C27" t="s">
        <v>36</v>
      </c>
      <c r="D27">
        <v>-16263.56</v>
      </c>
      <c r="E27">
        <f>COUNTIFS(Table1[DocNo],Table2[[#This Row],[Reference]])</f>
        <v>1</v>
      </c>
      <c r="F27" s="3">
        <f>IFERROR(INDEX(Table1[Amount],MATCH(Table2[[#This Row],[Reference]],Table1[DocNo],0)),0)</f>
        <v>-16263.56</v>
      </c>
      <c r="G27" s="3">
        <f>IF(Table2[[#This Row],[GL Count]]=0,0,ROUND(Table2[[#This Row],[Amount]]-Table2[[#This Row],[GL Amount]],2))</f>
        <v>0</v>
      </c>
      <c r="H27" t="str">
        <f>IF(Table2[[#This Row],[GL Count]]=0,"Bank only",IF(Table2[[#This Row],[Difference]]&lt;&gt;0,"Amount difference","Matched"))</f>
        <v>Matched</v>
      </c>
    </row>
    <row r="28" spans="1:8" x14ac:dyDescent="0.45">
      <c r="A28" s="1">
        <v>46181</v>
      </c>
      <c r="B28" t="s">
        <v>155</v>
      </c>
      <c r="C28" t="s">
        <v>28</v>
      </c>
      <c r="D28">
        <v>-23647.98</v>
      </c>
      <c r="E28">
        <f>COUNTIFS(Table1[DocNo],Table2[[#This Row],[Reference]])</f>
        <v>1</v>
      </c>
      <c r="F28" s="3">
        <f>IFERROR(INDEX(Table1[Amount],MATCH(Table2[[#This Row],[Reference]],Table1[DocNo],0)),0)</f>
        <v>-23647.98</v>
      </c>
      <c r="G28" s="3">
        <f>IF(Table2[[#This Row],[GL Count]]=0,0,ROUND(Table2[[#This Row],[Amount]]-Table2[[#This Row],[GL Amount]],2))</f>
        <v>0</v>
      </c>
      <c r="H28" t="str">
        <f>IF(Table2[[#This Row],[GL Count]]=0,"Bank only",IF(Table2[[#This Row],[Difference]]&lt;&gt;0,"Amount difference","Matched"))</f>
        <v>Matched</v>
      </c>
    </row>
    <row r="29" spans="1:8" x14ac:dyDescent="0.45">
      <c r="A29" s="1">
        <v>46181</v>
      </c>
      <c r="B29" t="s">
        <v>156</v>
      </c>
      <c r="C29" t="s">
        <v>29</v>
      </c>
      <c r="D29">
        <v>-13386.11</v>
      </c>
      <c r="E29">
        <f>COUNTIFS(Table1[DocNo],Table2[[#This Row],[Reference]])</f>
        <v>1</v>
      </c>
      <c r="F29" s="3">
        <f>IFERROR(INDEX(Table1[Amount],MATCH(Table2[[#This Row],[Reference]],Table1[DocNo],0)),0)</f>
        <v>-13386.11</v>
      </c>
      <c r="G29" s="3">
        <f>IF(Table2[[#This Row],[GL Count]]=0,0,ROUND(Table2[[#This Row],[Amount]]-Table2[[#This Row],[GL Amount]],2))</f>
        <v>0</v>
      </c>
      <c r="H29" t="str">
        <f>IF(Table2[[#This Row],[GL Count]]=0,"Bank only",IF(Table2[[#This Row],[Difference]]&lt;&gt;0,"Amount difference","Matched"))</f>
        <v>Matched</v>
      </c>
    </row>
    <row r="30" spans="1:8" x14ac:dyDescent="0.45">
      <c r="A30" s="1">
        <v>46181</v>
      </c>
      <c r="B30" t="s">
        <v>157</v>
      </c>
      <c r="C30" t="s">
        <v>31</v>
      </c>
      <c r="D30">
        <v>-5184.0200000000004</v>
      </c>
      <c r="E30">
        <f>COUNTIFS(Table1[DocNo],Table2[[#This Row],[Reference]])</f>
        <v>1</v>
      </c>
      <c r="F30" s="3">
        <f>IFERROR(INDEX(Table1[Amount],MATCH(Table2[[#This Row],[Reference]],Table1[DocNo],0)),0)</f>
        <v>-5184.0200000000004</v>
      </c>
      <c r="G30" s="3">
        <f>IF(Table2[[#This Row],[GL Count]]=0,0,ROUND(Table2[[#This Row],[Amount]]-Table2[[#This Row],[GL Amount]],2))</f>
        <v>0</v>
      </c>
      <c r="H30" t="str">
        <f>IF(Table2[[#This Row],[GL Count]]=0,"Bank only",IF(Table2[[#This Row],[Difference]]&lt;&gt;0,"Amount difference","Matched"))</f>
        <v>Matched</v>
      </c>
    </row>
    <row r="31" spans="1:8" x14ac:dyDescent="0.45">
      <c r="A31" s="1">
        <v>46181</v>
      </c>
      <c r="B31" t="s">
        <v>158</v>
      </c>
      <c r="C31" t="s">
        <v>32</v>
      </c>
      <c r="D31">
        <v>-6891.43</v>
      </c>
      <c r="E31">
        <f>COUNTIFS(Table1[DocNo],Table2[[#This Row],[Reference]])</f>
        <v>1</v>
      </c>
      <c r="F31" s="3">
        <f>IFERROR(INDEX(Table1[Amount],MATCH(Table2[[#This Row],[Reference]],Table1[DocNo],0)),0)</f>
        <v>-6891.43</v>
      </c>
      <c r="G31" s="3">
        <f>IF(Table2[[#This Row],[GL Count]]=0,0,ROUND(Table2[[#This Row],[Amount]]-Table2[[#This Row],[GL Amount]],2))</f>
        <v>0</v>
      </c>
      <c r="H31" t="str">
        <f>IF(Table2[[#This Row],[GL Count]]=0,"Bank only",IF(Table2[[#This Row],[Difference]]&lt;&gt;0,"Amount difference","Matched"))</f>
        <v>Matched</v>
      </c>
    </row>
    <row r="32" spans="1:8" x14ac:dyDescent="0.45">
      <c r="A32" s="1">
        <v>46181</v>
      </c>
      <c r="B32" t="s">
        <v>159</v>
      </c>
      <c r="C32" t="s">
        <v>37</v>
      </c>
      <c r="D32">
        <v>-6102.99</v>
      </c>
      <c r="E32">
        <f>COUNTIFS(Table1[DocNo],Table2[[#This Row],[Reference]])</f>
        <v>1</v>
      </c>
      <c r="F32" s="3">
        <f>IFERROR(INDEX(Table1[Amount],MATCH(Table2[[#This Row],[Reference]],Table1[DocNo],0)),0)</f>
        <v>-6102.99</v>
      </c>
      <c r="G32" s="3">
        <f>IF(Table2[[#This Row],[GL Count]]=0,0,ROUND(Table2[[#This Row],[Amount]]-Table2[[#This Row],[GL Amount]],2))</f>
        <v>0</v>
      </c>
      <c r="H32" t="str">
        <f>IF(Table2[[#This Row],[GL Count]]=0,"Bank only",IF(Table2[[#This Row],[Difference]]&lt;&gt;0,"Amount difference","Matched"))</f>
        <v>Matched</v>
      </c>
    </row>
    <row r="33" spans="1:8" x14ac:dyDescent="0.45">
      <c r="A33" s="1">
        <v>46181</v>
      </c>
      <c r="B33" t="s">
        <v>160</v>
      </c>
      <c r="C33" t="s">
        <v>35</v>
      </c>
      <c r="D33">
        <v>-21676.19</v>
      </c>
      <c r="E33">
        <f>COUNTIFS(Table1[DocNo],Table2[[#This Row],[Reference]])</f>
        <v>1</v>
      </c>
      <c r="F33" s="3">
        <f>IFERROR(INDEX(Table1[Amount],MATCH(Table2[[#This Row],[Reference]],Table1[DocNo],0)),0)</f>
        <v>-21676.19</v>
      </c>
      <c r="G33" s="3">
        <f>IF(Table2[[#This Row],[GL Count]]=0,0,ROUND(Table2[[#This Row],[Amount]]-Table2[[#This Row],[GL Amount]],2))</f>
        <v>0</v>
      </c>
      <c r="H33" t="str">
        <f>IF(Table2[[#This Row],[GL Count]]=0,"Bank only",IF(Table2[[#This Row],[Difference]]&lt;&gt;0,"Amount difference","Matched"))</f>
        <v>Matched</v>
      </c>
    </row>
    <row r="34" spans="1:8" x14ac:dyDescent="0.45">
      <c r="A34" s="1">
        <v>46182</v>
      </c>
      <c r="B34" t="s">
        <v>161</v>
      </c>
      <c r="C34" t="s">
        <v>42</v>
      </c>
      <c r="D34">
        <v>-5257.34</v>
      </c>
      <c r="E34">
        <f>COUNTIFS(Table1[DocNo],Table2[[#This Row],[Reference]])</f>
        <v>1</v>
      </c>
      <c r="F34" s="3">
        <f>IFERROR(INDEX(Table1[Amount],MATCH(Table2[[#This Row],[Reference]],Table1[DocNo],0)),0)</f>
        <v>-5257.34</v>
      </c>
      <c r="G34" s="3">
        <f>IF(Table2[[#This Row],[GL Count]]=0,0,ROUND(Table2[[#This Row],[Amount]]-Table2[[#This Row],[GL Amount]],2))</f>
        <v>0</v>
      </c>
      <c r="H34" t="str">
        <f>IF(Table2[[#This Row],[GL Count]]=0,"Bank only",IF(Table2[[#This Row],[Difference]]&lt;&gt;0,"Amount difference","Matched"))</f>
        <v>Matched</v>
      </c>
    </row>
    <row r="35" spans="1:8" x14ac:dyDescent="0.45">
      <c r="A35" s="1">
        <v>46182</v>
      </c>
      <c r="B35" t="s">
        <v>162</v>
      </c>
      <c r="C35" t="s">
        <v>47</v>
      </c>
      <c r="D35">
        <v>-15288.66</v>
      </c>
      <c r="E35">
        <f>COUNTIFS(Table1[DocNo],Table2[[#This Row],[Reference]])</f>
        <v>1</v>
      </c>
      <c r="F35" s="3">
        <f>IFERROR(INDEX(Table1[Amount],MATCH(Table2[[#This Row],[Reference]],Table1[DocNo],0)),0)</f>
        <v>-15288.66</v>
      </c>
      <c r="G35" s="3">
        <f>IF(Table2[[#This Row],[GL Count]]=0,0,ROUND(Table2[[#This Row],[Amount]]-Table2[[#This Row],[GL Amount]],2))</f>
        <v>0</v>
      </c>
      <c r="H35" t="str">
        <f>IF(Table2[[#This Row],[GL Count]]=0,"Bank only",IF(Table2[[#This Row],[Difference]]&lt;&gt;0,"Amount difference","Matched"))</f>
        <v>Matched</v>
      </c>
    </row>
    <row r="36" spans="1:8" x14ac:dyDescent="0.45">
      <c r="A36" s="1">
        <v>46182</v>
      </c>
      <c r="B36" t="s">
        <v>163</v>
      </c>
      <c r="C36" t="s">
        <v>43</v>
      </c>
      <c r="D36">
        <v>-4433.49</v>
      </c>
      <c r="E36">
        <f>COUNTIFS(Table1[DocNo],Table2[[#This Row],[Reference]])</f>
        <v>1</v>
      </c>
      <c r="F36" s="3">
        <f>IFERROR(INDEX(Table1[Amount],MATCH(Table2[[#This Row],[Reference]],Table1[DocNo],0)),0)</f>
        <v>-4433.49</v>
      </c>
      <c r="G36" s="3">
        <f>IF(Table2[[#This Row],[GL Count]]=0,0,ROUND(Table2[[#This Row],[Amount]]-Table2[[#This Row],[GL Amount]],2))</f>
        <v>0</v>
      </c>
      <c r="H36" t="str">
        <f>IF(Table2[[#This Row],[GL Count]]=0,"Bank only",IF(Table2[[#This Row],[Difference]]&lt;&gt;0,"Amount difference","Matched"))</f>
        <v>Matched</v>
      </c>
    </row>
    <row r="37" spans="1:8" x14ac:dyDescent="0.45">
      <c r="A37" s="1">
        <v>46182</v>
      </c>
      <c r="B37" t="s">
        <v>164</v>
      </c>
      <c r="C37" t="s">
        <v>34</v>
      </c>
      <c r="D37">
        <v>-14595.51</v>
      </c>
      <c r="E37">
        <f>COUNTIFS(Table1[DocNo],Table2[[#This Row],[Reference]])</f>
        <v>1</v>
      </c>
      <c r="F37" s="3">
        <f>IFERROR(INDEX(Table1[Amount],MATCH(Table2[[#This Row],[Reference]],Table1[DocNo],0)),0)</f>
        <v>-14595.51</v>
      </c>
      <c r="G37" s="3">
        <f>IF(Table2[[#This Row],[GL Count]]=0,0,ROUND(Table2[[#This Row],[Amount]]-Table2[[#This Row],[GL Amount]],2))</f>
        <v>0</v>
      </c>
      <c r="H37" t="str">
        <f>IF(Table2[[#This Row],[GL Count]]=0,"Bank only",IF(Table2[[#This Row],[Difference]]&lt;&gt;0,"Amount difference","Matched"))</f>
        <v>Matched</v>
      </c>
    </row>
    <row r="38" spans="1:8" x14ac:dyDescent="0.45">
      <c r="A38" s="1">
        <v>46182</v>
      </c>
      <c r="B38" t="s">
        <v>165</v>
      </c>
      <c r="C38" t="s">
        <v>20</v>
      </c>
      <c r="D38">
        <v>-16110.81</v>
      </c>
      <c r="E38">
        <f>COUNTIFS(Table1[DocNo],Table2[[#This Row],[Reference]])</f>
        <v>1</v>
      </c>
      <c r="F38" s="3">
        <f>IFERROR(INDEX(Table1[Amount],MATCH(Table2[[#This Row],[Reference]],Table1[DocNo],0)),0)</f>
        <v>-16110.81</v>
      </c>
      <c r="G38" s="3">
        <f>IF(Table2[[#This Row],[GL Count]]=0,0,ROUND(Table2[[#This Row],[Amount]]-Table2[[#This Row],[GL Amount]],2))</f>
        <v>0</v>
      </c>
      <c r="H38" t="str">
        <f>IF(Table2[[#This Row],[GL Count]]=0,"Bank only",IF(Table2[[#This Row],[Difference]]&lt;&gt;0,"Amount difference","Matched"))</f>
        <v>Matched</v>
      </c>
    </row>
    <row r="39" spans="1:8" x14ac:dyDescent="0.45">
      <c r="A39" s="1">
        <v>46182</v>
      </c>
      <c r="B39" t="s">
        <v>166</v>
      </c>
      <c r="C39" t="s">
        <v>40</v>
      </c>
      <c r="D39">
        <v>70486.820000000007</v>
      </c>
      <c r="E39">
        <f>COUNTIFS(Table1[DocNo],Table2[[#This Row],[Reference]])</f>
        <v>1</v>
      </c>
      <c r="F39" s="3">
        <f>IFERROR(INDEX(Table1[Amount],MATCH(Table2[[#This Row],[Reference]],Table1[DocNo],0)),0)</f>
        <v>70486.820000000007</v>
      </c>
      <c r="G39" s="3">
        <f>IF(Table2[[#This Row],[GL Count]]=0,0,ROUND(Table2[[#This Row],[Amount]]-Table2[[#This Row],[GL Amount]],2))</f>
        <v>0</v>
      </c>
      <c r="H39" t="str">
        <f>IF(Table2[[#This Row],[GL Count]]=0,"Bank only",IF(Table2[[#This Row],[Difference]]&lt;&gt;0,"Amount difference","Matched"))</f>
        <v>Matched</v>
      </c>
    </row>
    <row r="40" spans="1:8" x14ac:dyDescent="0.45">
      <c r="A40" s="1">
        <v>46182</v>
      </c>
      <c r="B40" t="s">
        <v>167</v>
      </c>
      <c r="C40" t="s">
        <v>44</v>
      </c>
      <c r="D40">
        <v>27250.97</v>
      </c>
      <c r="E40">
        <f>COUNTIFS(Table1[DocNo],Table2[[#This Row],[Reference]])</f>
        <v>1</v>
      </c>
      <c r="F40" s="3">
        <f>IFERROR(INDEX(Table1[Amount],MATCH(Table2[[#This Row],[Reference]],Table1[DocNo],0)),0)</f>
        <v>27250.97</v>
      </c>
      <c r="G40" s="3">
        <f>IF(Table2[[#This Row],[GL Count]]=0,0,ROUND(Table2[[#This Row],[Amount]]-Table2[[#This Row],[GL Amount]],2))</f>
        <v>0</v>
      </c>
      <c r="H40" t="str">
        <f>IF(Table2[[#This Row],[GL Count]]=0,"Bank only",IF(Table2[[#This Row],[Difference]]&lt;&gt;0,"Amount difference","Matched"))</f>
        <v>Matched</v>
      </c>
    </row>
    <row r="41" spans="1:8" x14ac:dyDescent="0.45">
      <c r="A41" s="1">
        <v>46182</v>
      </c>
      <c r="B41" t="s">
        <v>168</v>
      </c>
      <c r="C41" t="s">
        <v>41</v>
      </c>
      <c r="D41">
        <v>-5170.46</v>
      </c>
      <c r="E41">
        <f>COUNTIFS(Table1[DocNo],Table2[[#This Row],[Reference]])</f>
        <v>1</v>
      </c>
      <c r="F41" s="3">
        <f>IFERROR(INDEX(Table1[Amount],MATCH(Table2[[#This Row],[Reference]],Table1[DocNo],0)),0)</f>
        <v>-5170.46</v>
      </c>
      <c r="G41" s="3">
        <f>IF(Table2[[#This Row],[GL Count]]=0,0,ROUND(Table2[[#This Row],[Amount]]-Table2[[#This Row],[GL Amount]],2))</f>
        <v>0</v>
      </c>
      <c r="H41" t="str">
        <f>IF(Table2[[#This Row],[GL Count]]=0,"Bank only",IF(Table2[[#This Row],[Difference]]&lt;&gt;0,"Amount difference","Matched"))</f>
        <v>Matched</v>
      </c>
    </row>
    <row r="42" spans="1:8" x14ac:dyDescent="0.45">
      <c r="A42" s="1">
        <v>46182</v>
      </c>
      <c r="B42" t="s">
        <v>169</v>
      </c>
      <c r="C42" t="s">
        <v>45</v>
      </c>
      <c r="D42">
        <v>-10880.16</v>
      </c>
      <c r="E42">
        <f>COUNTIFS(Table1[DocNo],Table2[[#This Row],[Reference]])</f>
        <v>1</v>
      </c>
      <c r="F42" s="3">
        <f>IFERROR(INDEX(Table1[Amount],MATCH(Table2[[#This Row],[Reference]],Table1[DocNo],0)),0)</f>
        <v>-10880.16</v>
      </c>
      <c r="G42" s="3">
        <f>IF(Table2[[#This Row],[GL Count]]=0,0,ROUND(Table2[[#This Row],[Amount]]-Table2[[#This Row],[GL Amount]],2))</f>
        <v>0</v>
      </c>
      <c r="H42" t="str">
        <f>IF(Table2[[#This Row],[GL Count]]=0,"Bank only",IF(Table2[[#This Row],[Difference]]&lt;&gt;0,"Amount difference","Matched"))</f>
        <v>Matched</v>
      </c>
    </row>
    <row r="43" spans="1:8" x14ac:dyDescent="0.45">
      <c r="A43" s="1">
        <v>46183</v>
      </c>
      <c r="B43" t="s">
        <v>170</v>
      </c>
      <c r="C43" t="s">
        <v>58</v>
      </c>
      <c r="D43">
        <v>-743.6</v>
      </c>
      <c r="E43">
        <f>COUNTIFS(Table1[DocNo],Table2[[#This Row],[Reference]])</f>
        <v>1</v>
      </c>
      <c r="F43" s="3">
        <f>IFERROR(INDEX(Table1[Amount],MATCH(Table2[[#This Row],[Reference]],Table1[DocNo],0)),0)</f>
        <v>-743.29</v>
      </c>
      <c r="G43" s="3">
        <f>IF(Table2[[#This Row],[GL Count]]=0,0,ROUND(Table2[[#This Row],[Amount]]-Table2[[#This Row],[GL Amount]],2))</f>
        <v>-0.31</v>
      </c>
      <c r="H43" t="str">
        <f>IF(Table2[[#This Row],[GL Count]]=0,"Bank only",IF(Table2[[#This Row],[Difference]]&lt;&gt;0,"Amount difference","Matched"))</f>
        <v>Amount difference</v>
      </c>
    </row>
    <row r="44" spans="1:8" x14ac:dyDescent="0.45">
      <c r="A44" s="1">
        <v>46184</v>
      </c>
      <c r="B44" t="s">
        <v>171</v>
      </c>
      <c r="C44" t="s">
        <v>51</v>
      </c>
      <c r="D44">
        <v>-21055.08</v>
      </c>
      <c r="E44">
        <f>COUNTIFS(Table1[DocNo],Table2[[#This Row],[Reference]])</f>
        <v>1</v>
      </c>
      <c r="F44" s="3">
        <f>IFERROR(INDEX(Table1[Amount],MATCH(Table2[[#This Row],[Reference]],Table1[DocNo],0)),0)</f>
        <v>-21055.08</v>
      </c>
      <c r="G44" s="3">
        <f>IF(Table2[[#This Row],[GL Count]]=0,0,ROUND(Table2[[#This Row],[Amount]]-Table2[[#This Row],[GL Amount]],2))</f>
        <v>0</v>
      </c>
      <c r="H44" t="str">
        <f>IF(Table2[[#This Row],[GL Count]]=0,"Bank only",IF(Table2[[#This Row],[Difference]]&lt;&gt;0,"Amount difference","Matched"))</f>
        <v>Matched</v>
      </c>
    </row>
    <row r="45" spans="1:8" x14ac:dyDescent="0.45">
      <c r="A45" s="1">
        <v>46184</v>
      </c>
      <c r="B45" t="s">
        <v>172</v>
      </c>
      <c r="C45" t="s">
        <v>46</v>
      </c>
      <c r="D45">
        <v>-9101.0400000000009</v>
      </c>
      <c r="E45">
        <f>COUNTIFS(Table1[DocNo],Table2[[#This Row],[Reference]])</f>
        <v>1</v>
      </c>
      <c r="F45" s="3">
        <f>IFERROR(INDEX(Table1[Amount],MATCH(Table2[[#This Row],[Reference]],Table1[DocNo],0)),0)</f>
        <v>-9101.0400000000009</v>
      </c>
      <c r="G45" s="3">
        <f>IF(Table2[[#This Row],[GL Count]]=0,0,ROUND(Table2[[#This Row],[Amount]]-Table2[[#This Row],[GL Amount]],2))</f>
        <v>0</v>
      </c>
      <c r="H45" t="str">
        <f>IF(Table2[[#This Row],[GL Count]]=0,"Bank only",IF(Table2[[#This Row],[Difference]]&lt;&gt;0,"Amount difference","Matched"))</f>
        <v>Matched</v>
      </c>
    </row>
    <row r="46" spans="1:8" x14ac:dyDescent="0.45">
      <c r="A46" s="1">
        <v>46184</v>
      </c>
      <c r="B46" t="s">
        <v>173</v>
      </c>
      <c r="C46" t="s">
        <v>52</v>
      </c>
      <c r="D46">
        <v>41142.46</v>
      </c>
      <c r="E46">
        <f>COUNTIFS(Table1[DocNo],Table2[[#This Row],[Reference]])</f>
        <v>1</v>
      </c>
      <c r="F46" s="3">
        <f>IFERROR(INDEX(Table1[Amount],MATCH(Table2[[#This Row],[Reference]],Table1[DocNo],0)),0)</f>
        <v>41142.46</v>
      </c>
      <c r="G46" s="3">
        <f>IF(Table2[[#This Row],[GL Count]]=0,0,ROUND(Table2[[#This Row],[Amount]]-Table2[[#This Row],[GL Amount]],2))</f>
        <v>0</v>
      </c>
      <c r="H46" t="str">
        <f>IF(Table2[[#This Row],[GL Count]]=0,"Bank only",IF(Table2[[#This Row],[Difference]]&lt;&gt;0,"Amount difference","Matched"))</f>
        <v>Matched</v>
      </c>
    </row>
    <row r="47" spans="1:8" x14ac:dyDescent="0.45">
      <c r="A47" s="1">
        <v>46184</v>
      </c>
      <c r="B47" t="s">
        <v>174</v>
      </c>
      <c r="C47" t="s">
        <v>53</v>
      </c>
      <c r="D47">
        <v>87832.55</v>
      </c>
      <c r="E47">
        <f>COUNTIFS(Table1[DocNo],Table2[[#This Row],[Reference]])</f>
        <v>1</v>
      </c>
      <c r="F47" s="3">
        <f>IFERROR(INDEX(Table1[Amount],MATCH(Table2[[#This Row],[Reference]],Table1[DocNo],0)),0)</f>
        <v>87832.55</v>
      </c>
      <c r="G47" s="3">
        <f>IF(Table2[[#This Row],[GL Count]]=0,0,ROUND(Table2[[#This Row],[Amount]]-Table2[[#This Row],[GL Amount]],2))</f>
        <v>0</v>
      </c>
      <c r="H47" t="str">
        <f>IF(Table2[[#This Row],[GL Count]]=0,"Bank only",IF(Table2[[#This Row],[Difference]]&lt;&gt;0,"Amount difference","Matched"))</f>
        <v>Matched</v>
      </c>
    </row>
    <row r="48" spans="1:8" x14ac:dyDescent="0.45">
      <c r="A48" s="1">
        <v>46184</v>
      </c>
      <c r="B48" t="s">
        <v>175</v>
      </c>
      <c r="C48" t="s">
        <v>49</v>
      </c>
      <c r="D48">
        <v>-22782.19</v>
      </c>
      <c r="E48">
        <f>COUNTIFS(Table1[DocNo],Table2[[#This Row],[Reference]])</f>
        <v>1</v>
      </c>
      <c r="F48" s="3">
        <f>IFERROR(INDEX(Table1[Amount],MATCH(Table2[[#This Row],[Reference]],Table1[DocNo],0)),0)</f>
        <v>-22782.19</v>
      </c>
      <c r="G48" s="3">
        <f>IF(Table2[[#This Row],[GL Count]]=0,0,ROUND(Table2[[#This Row],[Amount]]-Table2[[#This Row],[GL Amount]],2))</f>
        <v>0</v>
      </c>
      <c r="H48" t="str">
        <f>IF(Table2[[#This Row],[GL Count]]=0,"Bank only",IF(Table2[[#This Row],[Difference]]&lt;&gt;0,"Amount difference","Matched"))</f>
        <v>Matched</v>
      </c>
    </row>
    <row r="49" spans="1:8" x14ac:dyDescent="0.45">
      <c r="A49" s="1">
        <v>46185</v>
      </c>
      <c r="B49" t="s">
        <v>176</v>
      </c>
      <c r="C49" t="s">
        <v>59</v>
      </c>
      <c r="D49">
        <v>-10980.23</v>
      </c>
      <c r="E49">
        <f>COUNTIFS(Table1[DocNo],Table2[[#This Row],[Reference]])</f>
        <v>1</v>
      </c>
      <c r="F49" s="3">
        <f>IFERROR(INDEX(Table1[Amount],MATCH(Table2[[#This Row],[Reference]],Table1[DocNo],0)),0)</f>
        <v>-10980.23</v>
      </c>
      <c r="G49" s="3">
        <f>IF(Table2[[#This Row],[GL Count]]=0,0,ROUND(Table2[[#This Row],[Amount]]-Table2[[#This Row],[GL Amount]],2))</f>
        <v>0</v>
      </c>
      <c r="H49" t="str">
        <f>IF(Table2[[#This Row],[GL Count]]=0,"Bank only",IF(Table2[[#This Row],[Difference]]&lt;&gt;0,"Amount difference","Matched"))</f>
        <v>Matched</v>
      </c>
    </row>
    <row r="50" spans="1:8" x14ac:dyDescent="0.45">
      <c r="A50" s="1">
        <v>46185</v>
      </c>
      <c r="B50" t="s">
        <v>177</v>
      </c>
      <c r="C50" t="s">
        <v>39</v>
      </c>
      <c r="D50">
        <v>-8175.43</v>
      </c>
      <c r="E50">
        <f>COUNTIFS(Table1[DocNo],Table2[[#This Row],[Reference]])</f>
        <v>1</v>
      </c>
      <c r="F50" s="3">
        <f>IFERROR(INDEX(Table1[Amount],MATCH(Table2[[#This Row],[Reference]],Table1[DocNo],0)),0)</f>
        <v>-8175.43</v>
      </c>
      <c r="G50" s="3">
        <f>IF(Table2[[#This Row],[GL Count]]=0,0,ROUND(Table2[[#This Row],[Amount]]-Table2[[#This Row],[GL Amount]],2))</f>
        <v>0</v>
      </c>
      <c r="H50" t="str">
        <f>IF(Table2[[#This Row],[GL Count]]=0,"Bank only",IF(Table2[[#This Row],[Difference]]&lt;&gt;0,"Amount difference","Matched"))</f>
        <v>Matched</v>
      </c>
    </row>
    <row r="51" spans="1:8" x14ac:dyDescent="0.45">
      <c r="A51" s="1">
        <v>46185</v>
      </c>
      <c r="B51" t="s">
        <v>178</v>
      </c>
      <c r="C51" t="s">
        <v>48</v>
      </c>
      <c r="D51">
        <v>-14804.25</v>
      </c>
      <c r="E51">
        <f>COUNTIFS(Table1[DocNo],Table2[[#This Row],[Reference]])</f>
        <v>1</v>
      </c>
      <c r="F51" s="3">
        <f>IFERROR(INDEX(Table1[Amount],MATCH(Table2[[#This Row],[Reference]],Table1[DocNo],0)),0)</f>
        <v>-14804.25</v>
      </c>
      <c r="G51" s="3">
        <f>IF(Table2[[#This Row],[GL Count]]=0,0,ROUND(Table2[[#This Row],[Amount]]-Table2[[#This Row],[GL Amount]],2))</f>
        <v>0</v>
      </c>
      <c r="H51" t="str">
        <f>IF(Table2[[#This Row],[GL Count]]=0,"Bank only",IF(Table2[[#This Row],[Difference]]&lt;&gt;0,"Amount difference","Matched"))</f>
        <v>Matched</v>
      </c>
    </row>
    <row r="52" spans="1:8" x14ac:dyDescent="0.45">
      <c r="A52" s="1">
        <v>46185</v>
      </c>
      <c r="B52" t="s">
        <v>179</v>
      </c>
      <c r="C52" t="s">
        <v>56</v>
      </c>
      <c r="D52">
        <v>-1176.3599999999999</v>
      </c>
      <c r="E52">
        <f>COUNTIFS(Table1[DocNo],Table2[[#This Row],[Reference]])</f>
        <v>1</v>
      </c>
      <c r="F52" s="3">
        <f>IFERROR(INDEX(Table1[Amount],MATCH(Table2[[#This Row],[Reference]],Table1[DocNo],0)),0)</f>
        <v>-1176.3599999999999</v>
      </c>
      <c r="G52" s="3">
        <f>IF(Table2[[#This Row],[GL Count]]=0,0,ROUND(Table2[[#This Row],[Amount]]-Table2[[#This Row],[GL Amount]],2))</f>
        <v>0</v>
      </c>
      <c r="H52" t="str">
        <f>IF(Table2[[#This Row],[GL Count]]=0,"Bank only",IF(Table2[[#This Row],[Difference]]&lt;&gt;0,"Amount difference","Matched"))</f>
        <v>Matched</v>
      </c>
    </row>
    <row r="53" spans="1:8" x14ac:dyDescent="0.45">
      <c r="A53" s="1">
        <v>46185</v>
      </c>
      <c r="B53" t="s">
        <v>180</v>
      </c>
      <c r="C53" t="s">
        <v>57</v>
      </c>
      <c r="D53">
        <v>-16179.58</v>
      </c>
      <c r="E53">
        <f>COUNTIFS(Table1[DocNo],Table2[[#This Row],[Reference]])</f>
        <v>1</v>
      </c>
      <c r="F53" s="3">
        <f>IFERROR(INDEX(Table1[Amount],MATCH(Table2[[#This Row],[Reference]],Table1[DocNo],0)),0)</f>
        <v>-16179.58</v>
      </c>
      <c r="G53" s="3">
        <f>IF(Table2[[#This Row],[GL Count]]=0,0,ROUND(Table2[[#This Row],[Amount]]-Table2[[#This Row],[GL Amount]],2))</f>
        <v>0</v>
      </c>
      <c r="H53" t="str">
        <f>IF(Table2[[#This Row],[GL Count]]=0,"Bank only",IF(Table2[[#This Row],[Difference]]&lt;&gt;0,"Amount difference","Matched"))</f>
        <v>Matched</v>
      </c>
    </row>
    <row r="54" spans="1:8" x14ac:dyDescent="0.45">
      <c r="A54" s="1">
        <v>46185</v>
      </c>
      <c r="B54" t="s">
        <v>181</v>
      </c>
      <c r="C54" t="s">
        <v>60</v>
      </c>
      <c r="D54">
        <v>-2483.7800000000002</v>
      </c>
      <c r="E54">
        <f>COUNTIFS(Table1[DocNo],Table2[[#This Row],[Reference]])</f>
        <v>1</v>
      </c>
      <c r="F54" s="3">
        <f>IFERROR(INDEX(Table1[Amount],MATCH(Table2[[#This Row],[Reference]],Table1[DocNo],0)),0)</f>
        <v>-2483.7800000000002</v>
      </c>
      <c r="G54" s="3">
        <f>IF(Table2[[#This Row],[GL Count]]=0,0,ROUND(Table2[[#This Row],[Amount]]-Table2[[#This Row],[GL Amount]],2))</f>
        <v>0</v>
      </c>
      <c r="H54" t="str">
        <f>IF(Table2[[#This Row],[GL Count]]=0,"Bank only",IF(Table2[[#This Row],[Difference]]&lt;&gt;0,"Amount difference","Matched"))</f>
        <v>Matched</v>
      </c>
    </row>
    <row r="55" spans="1:8" x14ac:dyDescent="0.45">
      <c r="A55" s="1">
        <v>46188</v>
      </c>
      <c r="B55" t="s">
        <v>182</v>
      </c>
      <c r="C55" t="s">
        <v>67</v>
      </c>
      <c r="D55">
        <v>-12952.95</v>
      </c>
      <c r="E55">
        <f>COUNTIFS(Table1[DocNo],Table2[[#This Row],[Reference]])</f>
        <v>1</v>
      </c>
      <c r="F55" s="3">
        <f>IFERROR(INDEX(Table1[Amount],MATCH(Table2[[#This Row],[Reference]],Table1[DocNo],0)),0)</f>
        <v>-12952.95</v>
      </c>
      <c r="G55" s="3">
        <f>IF(Table2[[#This Row],[GL Count]]=0,0,ROUND(Table2[[#This Row],[Amount]]-Table2[[#This Row],[GL Amount]],2))</f>
        <v>0</v>
      </c>
      <c r="H55" t="str">
        <f>IF(Table2[[#This Row],[GL Count]]=0,"Bank only",IF(Table2[[#This Row],[Difference]]&lt;&gt;0,"Amount difference","Matched"))</f>
        <v>Matched</v>
      </c>
    </row>
    <row r="56" spans="1:8" x14ac:dyDescent="0.45">
      <c r="A56" s="1">
        <v>46188</v>
      </c>
      <c r="B56" t="s">
        <v>183</v>
      </c>
      <c r="C56" t="s">
        <v>69</v>
      </c>
      <c r="D56">
        <v>-2837.17</v>
      </c>
      <c r="E56">
        <f>COUNTIFS(Table1[DocNo],Table2[[#This Row],[Reference]])</f>
        <v>1</v>
      </c>
      <c r="F56" s="3">
        <f>IFERROR(INDEX(Table1[Amount],MATCH(Table2[[#This Row],[Reference]],Table1[DocNo],0)),0)</f>
        <v>-2837.17</v>
      </c>
      <c r="G56" s="3">
        <f>IF(Table2[[#This Row],[GL Count]]=0,0,ROUND(Table2[[#This Row],[Amount]]-Table2[[#This Row],[GL Amount]],2))</f>
        <v>0</v>
      </c>
      <c r="H56" t="str">
        <f>IF(Table2[[#This Row],[GL Count]]=0,"Bank only",IF(Table2[[#This Row],[Difference]]&lt;&gt;0,"Amount difference","Matched"))</f>
        <v>Matched</v>
      </c>
    </row>
    <row r="57" spans="1:8" x14ac:dyDescent="0.45">
      <c r="A57" s="1">
        <v>46188</v>
      </c>
      <c r="B57" t="s">
        <v>184</v>
      </c>
      <c r="C57" t="s">
        <v>63</v>
      </c>
      <c r="D57">
        <v>-4550.6899999999996</v>
      </c>
      <c r="E57">
        <f>COUNTIFS(Table1[DocNo],Table2[[#This Row],[Reference]])</f>
        <v>1</v>
      </c>
      <c r="F57" s="3">
        <f>IFERROR(INDEX(Table1[Amount],MATCH(Table2[[#This Row],[Reference]],Table1[DocNo],0)),0)</f>
        <v>-4550.6899999999996</v>
      </c>
      <c r="G57" s="3">
        <f>IF(Table2[[#This Row],[GL Count]]=0,0,ROUND(Table2[[#This Row],[Amount]]-Table2[[#This Row],[GL Amount]],2))</f>
        <v>0</v>
      </c>
      <c r="H57" t="str">
        <f>IF(Table2[[#This Row],[GL Count]]=0,"Bank only",IF(Table2[[#This Row],[Difference]]&lt;&gt;0,"Amount difference","Matched"))</f>
        <v>Matched</v>
      </c>
    </row>
    <row r="58" spans="1:8" x14ac:dyDescent="0.45">
      <c r="A58" s="1">
        <v>46188</v>
      </c>
      <c r="B58" t="s">
        <v>185</v>
      </c>
      <c r="C58" t="s">
        <v>54</v>
      </c>
      <c r="D58">
        <v>-11233.06</v>
      </c>
      <c r="E58">
        <f>COUNTIFS(Table1[DocNo],Table2[[#This Row],[Reference]])</f>
        <v>1</v>
      </c>
      <c r="F58" s="3">
        <f>IFERROR(INDEX(Table1[Amount],MATCH(Table2[[#This Row],[Reference]],Table1[DocNo],0)),0)</f>
        <v>-11233.06</v>
      </c>
      <c r="G58" s="3">
        <f>IF(Table2[[#This Row],[GL Count]]=0,0,ROUND(Table2[[#This Row],[Amount]]-Table2[[#This Row],[GL Amount]],2))</f>
        <v>0</v>
      </c>
      <c r="H58" t="str">
        <f>IF(Table2[[#This Row],[GL Count]]=0,"Bank only",IF(Table2[[#This Row],[Difference]]&lt;&gt;0,"Amount difference","Matched"))</f>
        <v>Matched</v>
      </c>
    </row>
    <row r="59" spans="1:8" x14ac:dyDescent="0.45">
      <c r="A59" s="1">
        <v>46188</v>
      </c>
      <c r="B59" t="s">
        <v>186</v>
      </c>
      <c r="C59" t="s">
        <v>50</v>
      </c>
      <c r="D59">
        <v>-15073.56</v>
      </c>
      <c r="E59">
        <f>COUNTIFS(Table1[DocNo],Table2[[#This Row],[Reference]])</f>
        <v>1</v>
      </c>
      <c r="F59" s="3">
        <f>IFERROR(INDEX(Table1[Amount],MATCH(Table2[[#This Row],[Reference]],Table1[DocNo],0)),0)</f>
        <v>-15073.56</v>
      </c>
      <c r="G59" s="3">
        <f>IF(Table2[[#This Row],[GL Count]]=0,0,ROUND(Table2[[#This Row],[Amount]]-Table2[[#This Row],[GL Amount]],2))</f>
        <v>0</v>
      </c>
      <c r="H59" t="str">
        <f>IF(Table2[[#This Row],[GL Count]]=0,"Bank only",IF(Table2[[#This Row],[Difference]]&lt;&gt;0,"Amount difference","Matched"))</f>
        <v>Matched</v>
      </c>
    </row>
    <row r="60" spans="1:8" x14ac:dyDescent="0.45">
      <c r="A60" s="1">
        <v>46188</v>
      </c>
      <c r="B60" t="s">
        <v>187</v>
      </c>
      <c r="C60" t="s">
        <v>55</v>
      </c>
      <c r="D60">
        <v>-11995.77</v>
      </c>
      <c r="E60">
        <f>COUNTIFS(Table1[DocNo],Table2[[#This Row],[Reference]])</f>
        <v>1</v>
      </c>
      <c r="F60" s="3">
        <f>IFERROR(INDEX(Table1[Amount],MATCH(Table2[[#This Row],[Reference]],Table1[DocNo],0)),0)</f>
        <v>-11995.77</v>
      </c>
      <c r="G60" s="3">
        <f>IF(Table2[[#This Row],[GL Count]]=0,0,ROUND(Table2[[#This Row],[Amount]]-Table2[[#This Row],[GL Amount]],2))</f>
        <v>0</v>
      </c>
      <c r="H60" t="str">
        <f>IF(Table2[[#This Row],[GL Count]]=0,"Bank only",IF(Table2[[#This Row],[Difference]]&lt;&gt;0,"Amount difference","Matched"))</f>
        <v>Matched</v>
      </c>
    </row>
    <row r="61" spans="1:8" x14ac:dyDescent="0.45">
      <c r="A61" s="1">
        <v>46188</v>
      </c>
      <c r="B61" t="s">
        <v>188</v>
      </c>
      <c r="C61" t="s">
        <v>61</v>
      </c>
      <c r="D61">
        <v>-15901.99</v>
      </c>
      <c r="E61">
        <f>COUNTIFS(Table1[DocNo],Table2[[#This Row],[Reference]])</f>
        <v>1</v>
      </c>
      <c r="F61" s="3">
        <f>IFERROR(INDEX(Table1[Amount],MATCH(Table2[[#This Row],[Reference]],Table1[DocNo],0)),0)</f>
        <v>-15901.99</v>
      </c>
      <c r="G61" s="3">
        <f>IF(Table2[[#This Row],[GL Count]]=0,0,ROUND(Table2[[#This Row],[Amount]]-Table2[[#This Row],[GL Amount]],2))</f>
        <v>0</v>
      </c>
      <c r="H61" t="str">
        <f>IF(Table2[[#This Row],[GL Count]]=0,"Bank only",IF(Table2[[#This Row],[Difference]]&lt;&gt;0,"Amount difference","Matched"))</f>
        <v>Matched</v>
      </c>
    </row>
    <row r="62" spans="1:8" x14ac:dyDescent="0.45">
      <c r="A62" s="1">
        <v>46188</v>
      </c>
      <c r="B62" t="s">
        <v>189</v>
      </c>
      <c r="C62" t="s">
        <v>65</v>
      </c>
      <c r="D62">
        <v>-19356.189999999999</v>
      </c>
      <c r="E62">
        <f>COUNTIFS(Table1[DocNo],Table2[[#This Row],[Reference]])</f>
        <v>1</v>
      </c>
      <c r="F62" s="3">
        <f>IFERROR(INDEX(Table1[Amount],MATCH(Table2[[#This Row],[Reference]],Table1[DocNo],0)),0)</f>
        <v>-19356.189999999999</v>
      </c>
      <c r="G62" s="3">
        <f>IF(Table2[[#This Row],[GL Count]]=0,0,ROUND(Table2[[#This Row],[Amount]]-Table2[[#This Row],[GL Amount]],2))</f>
        <v>0</v>
      </c>
      <c r="H62" t="str">
        <f>IF(Table2[[#This Row],[GL Count]]=0,"Bank only",IF(Table2[[#This Row],[Difference]]&lt;&gt;0,"Amount difference","Matched"))</f>
        <v>Matched</v>
      </c>
    </row>
    <row r="63" spans="1:8" x14ac:dyDescent="0.45">
      <c r="A63" s="1">
        <v>46188</v>
      </c>
      <c r="B63" t="s">
        <v>190</v>
      </c>
      <c r="C63" t="s">
        <v>68</v>
      </c>
      <c r="D63">
        <v>-13321.03</v>
      </c>
      <c r="E63">
        <f>COUNTIFS(Table1[DocNo],Table2[[#This Row],[Reference]])</f>
        <v>1</v>
      </c>
      <c r="F63" s="3">
        <f>IFERROR(INDEX(Table1[Amount],MATCH(Table2[[#This Row],[Reference]],Table1[DocNo],0)),0)</f>
        <v>-13321.03</v>
      </c>
      <c r="G63" s="3">
        <f>IF(Table2[[#This Row],[GL Count]]=0,0,ROUND(Table2[[#This Row],[Amount]]-Table2[[#This Row],[GL Amount]],2))</f>
        <v>0</v>
      </c>
      <c r="H63" t="str">
        <f>IF(Table2[[#This Row],[GL Count]]=0,"Bank only",IF(Table2[[#This Row],[Difference]]&lt;&gt;0,"Amount difference","Matched"))</f>
        <v>Matched</v>
      </c>
    </row>
    <row r="64" spans="1:8" x14ac:dyDescent="0.45">
      <c r="A64" s="1">
        <v>46188</v>
      </c>
      <c r="B64" t="s">
        <v>191</v>
      </c>
      <c r="C64" t="s">
        <v>64</v>
      </c>
      <c r="D64">
        <v>-21240.09</v>
      </c>
      <c r="E64">
        <f>COUNTIFS(Table1[DocNo],Table2[[#This Row],[Reference]])</f>
        <v>1</v>
      </c>
      <c r="F64" s="3">
        <f>IFERROR(INDEX(Table1[Amount],MATCH(Table2[[#This Row],[Reference]],Table1[DocNo],0)),0)</f>
        <v>-21240.09</v>
      </c>
      <c r="G64" s="3">
        <f>IF(Table2[[#This Row],[GL Count]]=0,0,ROUND(Table2[[#This Row],[Amount]]-Table2[[#This Row],[GL Amount]],2))</f>
        <v>0</v>
      </c>
      <c r="H64" t="str">
        <f>IF(Table2[[#This Row],[GL Count]]=0,"Bank only",IF(Table2[[#This Row],[Difference]]&lt;&gt;0,"Amount difference","Matched"))</f>
        <v>Matched</v>
      </c>
    </row>
    <row r="65" spans="1:8" x14ac:dyDescent="0.45">
      <c r="A65" s="1">
        <v>46188</v>
      </c>
      <c r="B65" t="s">
        <v>192</v>
      </c>
      <c r="C65" t="s">
        <v>62</v>
      </c>
      <c r="D65">
        <v>-8619.3700000000008</v>
      </c>
      <c r="E65">
        <f>COUNTIFS(Table1[DocNo],Table2[[#This Row],[Reference]])</f>
        <v>1</v>
      </c>
      <c r="F65" s="3">
        <f>IFERROR(INDEX(Table1[Amount],MATCH(Table2[[#This Row],[Reference]],Table1[DocNo],0)),0)</f>
        <v>-8619.3700000000008</v>
      </c>
      <c r="G65" s="3">
        <f>IF(Table2[[#This Row],[GL Count]]=0,0,ROUND(Table2[[#This Row],[Amount]]-Table2[[#This Row],[GL Amount]],2))</f>
        <v>0</v>
      </c>
      <c r="H65" t="str">
        <f>IF(Table2[[#This Row],[GL Count]]=0,"Bank only",IF(Table2[[#This Row],[Difference]]&lt;&gt;0,"Amount difference","Matched"))</f>
        <v>Matched</v>
      </c>
    </row>
    <row r="66" spans="1:8" x14ac:dyDescent="0.45">
      <c r="A66" s="1">
        <v>46188</v>
      </c>
      <c r="B66" t="s">
        <v>193</v>
      </c>
      <c r="C66" t="s">
        <v>66</v>
      </c>
      <c r="D66">
        <v>-9270.17</v>
      </c>
      <c r="E66">
        <f>COUNTIFS(Table1[DocNo],Table2[[#This Row],[Reference]])</f>
        <v>1</v>
      </c>
      <c r="F66" s="3">
        <f>IFERROR(INDEX(Table1[Amount],MATCH(Table2[[#This Row],[Reference]],Table1[DocNo],0)),0)</f>
        <v>-9270.17</v>
      </c>
      <c r="G66" s="3">
        <f>IF(Table2[[#This Row],[GL Count]]=0,0,ROUND(Table2[[#This Row],[Amount]]-Table2[[#This Row],[GL Amount]],2))</f>
        <v>0</v>
      </c>
      <c r="H66" t="str">
        <f>IF(Table2[[#This Row],[GL Count]]=0,"Bank only",IF(Table2[[#This Row],[Difference]]&lt;&gt;0,"Amount difference","Matched"))</f>
        <v>Matched</v>
      </c>
    </row>
    <row r="67" spans="1:8" x14ac:dyDescent="0.45">
      <c r="A67" s="1">
        <v>46189</v>
      </c>
      <c r="B67" t="s">
        <v>194</v>
      </c>
      <c r="C67" t="s">
        <v>72</v>
      </c>
      <c r="D67">
        <v>-6813.33</v>
      </c>
      <c r="E67">
        <f>COUNTIFS(Table1[DocNo],Table2[[#This Row],[Reference]])</f>
        <v>1</v>
      </c>
      <c r="F67" s="3">
        <f>IFERROR(INDEX(Table1[Amount],MATCH(Table2[[#This Row],[Reference]],Table1[DocNo],0)),0)</f>
        <v>-6813.33</v>
      </c>
      <c r="G67" s="3">
        <f>IF(Table2[[#This Row],[GL Count]]=0,0,ROUND(Table2[[#This Row],[Amount]]-Table2[[#This Row],[GL Amount]],2))</f>
        <v>0</v>
      </c>
      <c r="H67" t="str">
        <f>IF(Table2[[#This Row],[GL Count]]=0,"Bank only",IF(Table2[[#This Row],[Difference]]&lt;&gt;0,"Amount difference","Matched"))</f>
        <v>Matched</v>
      </c>
    </row>
    <row r="68" spans="1:8" x14ac:dyDescent="0.45">
      <c r="A68" s="1">
        <v>46189</v>
      </c>
      <c r="B68" t="s">
        <v>195</v>
      </c>
      <c r="C68" t="s">
        <v>70</v>
      </c>
      <c r="D68">
        <v>-15945.77</v>
      </c>
      <c r="E68">
        <f>COUNTIFS(Table1[DocNo],Table2[[#This Row],[Reference]])</f>
        <v>1</v>
      </c>
      <c r="F68" s="3">
        <f>IFERROR(INDEX(Table1[Amount],MATCH(Table2[[#This Row],[Reference]],Table1[DocNo],0)),0)</f>
        <v>-15945.77</v>
      </c>
      <c r="G68" s="3">
        <f>IF(Table2[[#This Row],[GL Count]]=0,0,ROUND(Table2[[#This Row],[Amount]]-Table2[[#This Row],[GL Amount]],2))</f>
        <v>0</v>
      </c>
      <c r="H68" t="str">
        <f>IF(Table2[[#This Row],[GL Count]]=0,"Bank only",IF(Table2[[#This Row],[Difference]]&lt;&gt;0,"Amount difference","Matched"))</f>
        <v>Matched</v>
      </c>
    </row>
    <row r="69" spans="1:8" x14ac:dyDescent="0.45">
      <c r="A69" s="1">
        <v>46189</v>
      </c>
      <c r="B69" t="s">
        <v>196</v>
      </c>
      <c r="C69" t="s">
        <v>71</v>
      </c>
      <c r="D69">
        <v>78905.009999999995</v>
      </c>
      <c r="E69">
        <f>COUNTIFS(Table1[DocNo],Table2[[#This Row],[Reference]])</f>
        <v>1</v>
      </c>
      <c r="F69" s="3">
        <f>IFERROR(INDEX(Table1[Amount],MATCH(Table2[[#This Row],[Reference]],Table1[DocNo],0)),0)</f>
        <v>78905.009999999995</v>
      </c>
      <c r="G69" s="3">
        <f>IF(Table2[[#This Row],[GL Count]]=0,0,ROUND(Table2[[#This Row],[Amount]]-Table2[[#This Row],[GL Amount]],2))</f>
        <v>0</v>
      </c>
      <c r="H69" t="str">
        <f>IF(Table2[[#This Row],[GL Count]]=0,"Bank only",IF(Table2[[#This Row],[Difference]]&lt;&gt;0,"Amount difference","Matched"))</f>
        <v>Matched</v>
      </c>
    </row>
    <row r="70" spans="1:8" x14ac:dyDescent="0.45">
      <c r="A70" s="1">
        <v>46189</v>
      </c>
      <c r="B70" t="s">
        <v>197</v>
      </c>
      <c r="C70" t="s">
        <v>73</v>
      </c>
      <c r="D70">
        <v>61577.27</v>
      </c>
      <c r="E70">
        <f>COUNTIFS(Table1[DocNo],Table2[[#This Row],[Reference]])</f>
        <v>1</v>
      </c>
      <c r="F70" s="3">
        <f>IFERROR(INDEX(Table1[Amount],MATCH(Table2[[#This Row],[Reference]],Table1[DocNo],0)),0)</f>
        <v>61577.27</v>
      </c>
      <c r="G70" s="3">
        <f>IF(Table2[[#This Row],[GL Count]]=0,0,ROUND(Table2[[#This Row],[Amount]]-Table2[[#This Row],[GL Amount]],2))</f>
        <v>0</v>
      </c>
      <c r="H70" t="str">
        <f>IF(Table2[[#This Row],[GL Count]]=0,"Bank only",IF(Table2[[#This Row],[Difference]]&lt;&gt;0,"Amount difference","Matched"))</f>
        <v>Matched</v>
      </c>
    </row>
    <row r="71" spans="1:8" x14ac:dyDescent="0.45">
      <c r="A71" s="1">
        <v>46190</v>
      </c>
      <c r="B71" t="s">
        <v>198</v>
      </c>
      <c r="C71" t="s">
        <v>75</v>
      </c>
      <c r="D71">
        <v>-22079.8</v>
      </c>
      <c r="E71">
        <f>COUNTIFS(Table1[DocNo],Table2[[#This Row],[Reference]])</f>
        <v>1</v>
      </c>
      <c r="F71" s="3">
        <f>IFERROR(INDEX(Table1[Amount],MATCH(Table2[[#This Row],[Reference]],Table1[DocNo],0)),0)</f>
        <v>-22079.8</v>
      </c>
      <c r="G71" s="3">
        <f>IF(Table2[[#This Row],[GL Count]]=0,0,ROUND(Table2[[#This Row],[Amount]]-Table2[[#This Row],[GL Amount]],2))</f>
        <v>0</v>
      </c>
      <c r="H71" t="str">
        <f>IF(Table2[[#This Row],[GL Count]]=0,"Bank only",IF(Table2[[#This Row],[Difference]]&lt;&gt;0,"Amount difference","Matched"))</f>
        <v>Matched</v>
      </c>
    </row>
    <row r="72" spans="1:8" x14ac:dyDescent="0.45">
      <c r="A72" s="1">
        <v>46190</v>
      </c>
      <c r="B72" t="s">
        <v>199</v>
      </c>
      <c r="C72" t="s">
        <v>74</v>
      </c>
      <c r="D72">
        <v>56603.15</v>
      </c>
      <c r="E72">
        <f>COUNTIFS(Table1[DocNo],Table2[[#This Row],[Reference]])</f>
        <v>1</v>
      </c>
      <c r="F72" s="3">
        <f>IFERROR(INDEX(Table1[Amount],MATCH(Table2[[#This Row],[Reference]],Table1[DocNo],0)),0)</f>
        <v>56603.15</v>
      </c>
      <c r="G72" s="3">
        <f>IF(Table2[[#This Row],[GL Count]]=0,0,ROUND(Table2[[#This Row],[Amount]]-Table2[[#This Row],[GL Amount]],2))</f>
        <v>0</v>
      </c>
      <c r="H72" t="str">
        <f>IF(Table2[[#This Row],[GL Count]]=0,"Bank only",IF(Table2[[#This Row],[Difference]]&lt;&gt;0,"Amount difference","Matched"))</f>
        <v>Matched</v>
      </c>
    </row>
    <row r="73" spans="1:8" x14ac:dyDescent="0.45">
      <c r="A73" s="1">
        <v>46190</v>
      </c>
      <c r="B73" t="s">
        <v>200</v>
      </c>
      <c r="C73" t="s">
        <v>84</v>
      </c>
      <c r="D73">
        <v>-2411.46</v>
      </c>
      <c r="E73">
        <f>COUNTIFS(Table1[DocNo],Table2[[#This Row],[Reference]])</f>
        <v>1</v>
      </c>
      <c r="F73" s="3">
        <f>IFERROR(INDEX(Table1[Amount],MATCH(Table2[[#This Row],[Reference]],Table1[DocNo],0)),0)</f>
        <v>-2411.2800000000002</v>
      </c>
      <c r="G73" s="3">
        <f>IF(Table2[[#This Row],[GL Count]]=0,0,ROUND(Table2[[#This Row],[Amount]]-Table2[[#This Row],[GL Amount]],2))</f>
        <v>-0.18</v>
      </c>
      <c r="H73" t="str">
        <f>IF(Table2[[#This Row],[GL Count]]=0,"Bank only",IF(Table2[[#This Row],[Difference]]&lt;&gt;0,"Amount difference","Matched"))</f>
        <v>Amount difference</v>
      </c>
    </row>
    <row r="74" spans="1:8" x14ac:dyDescent="0.45">
      <c r="A74" s="1">
        <v>46191</v>
      </c>
      <c r="B74" t="s">
        <v>201</v>
      </c>
      <c r="C74" t="s">
        <v>77</v>
      </c>
      <c r="D74">
        <v>-15305.18</v>
      </c>
      <c r="E74">
        <f>COUNTIFS(Table1[DocNo],Table2[[#This Row],[Reference]])</f>
        <v>1</v>
      </c>
      <c r="F74" s="3">
        <f>IFERROR(INDEX(Table1[Amount],MATCH(Table2[[#This Row],[Reference]],Table1[DocNo],0)),0)</f>
        <v>-15305.18</v>
      </c>
      <c r="G74" s="3">
        <f>IF(Table2[[#This Row],[GL Count]]=0,0,ROUND(Table2[[#This Row],[Amount]]-Table2[[#This Row],[GL Amount]],2))</f>
        <v>0</v>
      </c>
      <c r="H74" t="str">
        <f>IF(Table2[[#This Row],[GL Count]]=0,"Bank only",IF(Table2[[#This Row],[Difference]]&lt;&gt;0,"Amount difference","Matched"))</f>
        <v>Matched</v>
      </c>
    </row>
    <row r="75" spans="1:8" x14ac:dyDescent="0.45">
      <c r="A75" s="1">
        <v>46191</v>
      </c>
      <c r="B75" t="s">
        <v>202</v>
      </c>
      <c r="C75" t="s">
        <v>78</v>
      </c>
      <c r="D75">
        <v>-15895.26</v>
      </c>
      <c r="E75">
        <f>COUNTIFS(Table1[DocNo],Table2[[#This Row],[Reference]])</f>
        <v>1</v>
      </c>
      <c r="F75" s="3">
        <f>IFERROR(INDEX(Table1[Amount],MATCH(Table2[[#This Row],[Reference]],Table1[DocNo],0)),0)</f>
        <v>-15895.26</v>
      </c>
      <c r="G75" s="3">
        <f>IF(Table2[[#This Row],[GL Count]]=0,0,ROUND(Table2[[#This Row],[Amount]]-Table2[[#This Row],[GL Amount]],2))</f>
        <v>0</v>
      </c>
      <c r="H75" t="str">
        <f>IF(Table2[[#This Row],[GL Count]]=0,"Bank only",IF(Table2[[#This Row],[Difference]]&lt;&gt;0,"Amount difference","Matched"))</f>
        <v>Matched</v>
      </c>
    </row>
    <row r="76" spans="1:8" x14ac:dyDescent="0.45">
      <c r="A76" s="1">
        <v>46191</v>
      </c>
      <c r="B76" t="s">
        <v>203</v>
      </c>
      <c r="C76" t="s">
        <v>85</v>
      </c>
      <c r="D76">
        <v>-10735.37</v>
      </c>
      <c r="E76">
        <f>COUNTIFS(Table1[DocNo],Table2[[#This Row],[Reference]])</f>
        <v>1</v>
      </c>
      <c r="F76" s="3">
        <f>IFERROR(INDEX(Table1[Amount],MATCH(Table2[[#This Row],[Reference]],Table1[DocNo],0)),0)</f>
        <v>-10735.37</v>
      </c>
      <c r="G76" s="3">
        <f>IF(Table2[[#This Row],[GL Count]]=0,0,ROUND(Table2[[#This Row],[Amount]]-Table2[[#This Row],[GL Amount]],2))</f>
        <v>0</v>
      </c>
      <c r="H76" t="str">
        <f>IF(Table2[[#This Row],[GL Count]]=0,"Bank only",IF(Table2[[#This Row],[Difference]]&lt;&gt;0,"Amount difference","Matched"))</f>
        <v>Matched</v>
      </c>
    </row>
    <row r="77" spans="1:8" x14ac:dyDescent="0.45">
      <c r="A77" s="1">
        <v>46191</v>
      </c>
      <c r="B77" t="s">
        <v>204</v>
      </c>
      <c r="C77" t="s">
        <v>76</v>
      </c>
      <c r="D77">
        <v>-4709.2299999999996</v>
      </c>
      <c r="E77">
        <f>COUNTIFS(Table1[DocNo],Table2[[#This Row],[Reference]])</f>
        <v>1</v>
      </c>
      <c r="F77" s="3">
        <f>IFERROR(INDEX(Table1[Amount],MATCH(Table2[[#This Row],[Reference]],Table1[DocNo],0)),0)</f>
        <v>-4709.2299999999996</v>
      </c>
      <c r="G77" s="3">
        <f>IF(Table2[[#This Row],[GL Count]]=0,0,ROUND(Table2[[#This Row],[Amount]]-Table2[[#This Row],[GL Amount]],2))</f>
        <v>0</v>
      </c>
      <c r="H77" t="str">
        <f>IF(Table2[[#This Row],[GL Count]]=0,"Bank only",IF(Table2[[#This Row],[Difference]]&lt;&gt;0,"Amount difference","Matched"))</f>
        <v>Matched</v>
      </c>
    </row>
    <row r="78" spans="1:8" x14ac:dyDescent="0.45">
      <c r="A78" s="1">
        <v>46191</v>
      </c>
      <c r="B78" t="s">
        <v>205</v>
      </c>
      <c r="C78" t="s">
        <v>80</v>
      </c>
      <c r="D78">
        <v>111792.66</v>
      </c>
      <c r="E78">
        <f>COUNTIFS(Table1[DocNo],Table2[[#This Row],[Reference]])</f>
        <v>1</v>
      </c>
      <c r="F78" s="3">
        <f>IFERROR(INDEX(Table1[Amount],MATCH(Table2[[#This Row],[Reference]],Table1[DocNo],0)),0)</f>
        <v>111792.66</v>
      </c>
      <c r="G78" s="3">
        <f>IF(Table2[[#This Row],[GL Count]]=0,0,ROUND(Table2[[#This Row],[Amount]]-Table2[[#This Row],[GL Amount]],2))</f>
        <v>0</v>
      </c>
      <c r="H78" t="str">
        <f>IF(Table2[[#This Row],[GL Count]]=0,"Bank only",IF(Table2[[#This Row],[Difference]]&lt;&gt;0,"Amount difference","Matched"))</f>
        <v>Matched</v>
      </c>
    </row>
    <row r="79" spans="1:8" x14ac:dyDescent="0.45">
      <c r="A79" s="1">
        <v>46191</v>
      </c>
      <c r="B79" t="s">
        <v>206</v>
      </c>
      <c r="C79" t="s">
        <v>82</v>
      </c>
      <c r="D79">
        <v>86353.93</v>
      </c>
      <c r="E79">
        <f>COUNTIFS(Table1[DocNo],Table2[[#This Row],[Reference]])</f>
        <v>1</v>
      </c>
      <c r="F79" s="3">
        <f>IFERROR(INDEX(Table1[Amount],MATCH(Table2[[#This Row],[Reference]],Table1[DocNo],0)),0)</f>
        <v>86353.93</v>
      </c>
      <c r="G79" s="3">
        <f>IF(Table2[[#This Row],[GL Count]]=0,0,ROUND(Table2[[#This Row],[Amount]]-Table2[[#This Row],[GL Amount]],2))</f>
        <v>0</v>
      </c>
      <c r="H79" t="str">
        <f>IF(Table2[[#This Row],[GL Count]]=0,"Bank only",IF(Table2[[#This Row],[Difference]]&lt;&gt;0,"Amount difference","Matched"))</f>
        <v>Matched</v>
      </c>
    </row>
    <row r="80" spans="1:8" x14ac:dyDescent="0.45">
      <c r="A80" s="1">
        <v>46191</v>
      </c>
      <c r="B80" t="s">
        <v>207</v>
      </c>
      <c r="C80" t="s">
        <v>86</v>
      </c>
      <c r="D80">
        <v>47196.480000000003</v>
      </c>
      <c r="E80">
        <f>COUNTIFS(Table1[DocNo],Table2[[#This Row],[Reference]])</f>
        <v>1</v>
      </c>
      <c r="F80" s="3">
        <f>IFERROR(INDEX(Table1[Amount],MATCH(Table2[[#This Row],[Reference]],Table1[DocNo],0)),0)</f>
        <v>47196.480000000003</v>
      </c>
      <c r="G80" s="3">
        <f>IF(Table2[[#This Row],[GL Count]]=0,0,ROUND(Table2[[#This Row],[Amount]]-Table2[[#This Row],[GL Amount]],2))</f>
        <v>0</v>
      </c>
      <c r="H80" t="str">
        <f>IF(Table2[[#This Row],[GL Count]]=0,"Bank only",IF(Table2[[#This Row],[Difference]]&lt;&gt;0,"Amount difference","Matched"))</f>
        <v>Matched</v>
      </c>
    </row>
    <row r="81" spans="1:8" x14ac:dyDescent="0.45">
      <c r="A81" s="1">
        <v>46191</v>
      </c>
      <c r="B81" t="s">
        <v>208</v>
      </c>
      <c r="C81" t="s">
        <v>209</v>
      </c>
      <c r="D81">
        <v>-48</v>
      </c>
      <c r="E81">
        <f>COUNTIFS(Table1[DocNo],Table2[[#This Row],[Reference]])</f>
        <v>0</v>
      </c>
      <c r="F81" s="3">
        <f>IFERROR(INDEX(Table1[Amount],MATCH(Table2[[#This Row],[Reference]],Table1[DocNo],0)),0)</f>
        <v>0</v>
      </c>
      <c r="G81" s="3">
        <f>IF(Table2[[#This Row],[GL Count]]=0,0,ROUND(Table2[[#This Row],[Amount]]-Table2[[#This Row],[GL Amount]],2))</f>
        <v>0</v>
      </c>
      <c r="H81" t="str">
        <f>IF(Table2[[#This Row],[GL Count]]=0,"Bank only",IF(Table2[[#This Row],[Difference]]&lt;&gt;0,"Amount difference","Matched"))</f>
        <v>Bank only</v>
      </c>
    </row>
    <row r="82" spans="1:8" x14ac:dyDescent="0.45">
      <c r="A82" s="1">
        <v>46191</v>
      </c>
      <c r="B82" t="s">
        <v>210</v>
      </c>
      <c r="C82" t="s">
        <v>81</v>
      </c>
      <c r="D82">
        <v>-3937.53</v>
      </c>
      <c r="E82">
        <f>COUNTIFS(Table1[DocNo],Table2[[#This Row],[Reference]])</f>
        <v>1</v>
      </c>
      <c r="F82" s="3">
        <f>IFERROR(INDEX(Table1[Amount],MATCH(Table2[[#This Row],[Reference]],Table1[DocNo],0)),0)</f>
        <v>-3937.53</v>
      </c>
      <c r="G82" s="3">
        <f>IF(Table2[[#This Row],[GL Count]]=0,0,ROUND(Table2[[#This Row],[Amount]]-Table2[[#This Row],[GL Amount]],2))</f>
        <v>0</v>
      </c>
      <c r="H82" t="str">
        <f>IF(Table2[[#This Row],[GL Count]]=0,"Bank only",IF(Table2[[#This Row],[Difference]]&lt;&gt;0,"Amount difference","Matched"))</f>
        <v>Matched</v>
      </c>
    </row>
    <row r="83" spans="1:8" x14ac:dyDescent="0.45">
      <c r="A83" s="1">
        <v>46191</v>
      </c>
      <c r="B83" t="s">
        <v>211</v>
      </c>
      <c r="C83" t="s">
        <v>90</v>
      </c>
      <c r="D83">
        <v>-1154.68</v>
      </c>
      <c r="E83">
        <f>COUNTIFS(Table1[DocNo],Table2[[#This Row],[Reference]])</f>
        <v>1</v>
      </c>
      <c r="F83" s="3">
        <f>IFERROR(INDEX(Table1[Amount],MATCH(Table2[[#This Row],[Reference]],Table1[DocNo],0)),0)</f>
        <v>-1154.82</v>
      </c>
      <c r="G83" s="3">
        <f>IF(Table2[[#This Row],[GL Count]]=0,0,ROUND(Table2[[#This Row],[Amount]]-Table2[[#This Row],[GL Amount]],2))</f>
        <v>0.14000000000000001</v>
      </c>
      <c r="H83" t="str">
        <f>IF(Table2[[#This Row],[GL Count]]=0,"Bank only",IF(Table2[[#This Row],[Difference]]&lt;&gt;0,"Amount difference","Matched"))</f>
        <v>Amount difference</v>
      </c>
    </row>
    <row r="84" spans="1:8" x14ac:dyDescent="0.45">
      <c r="A84" s="1">
        <v>46192</v>
      </c>
      <c r="B84" t="s">
        <v>212</v>
      </c>
      <c r="C84" t="s">
        <v>87</v>
      </c>
      <c r="D84">
        <v>-2934.68</v>
      </c>
      <c r="E84">
        <f>COUNTIFS(Table1[DocNo],Table2[[#This Row],[Reference]])</f>
        <v>1</v>
      </c>
      <c r="F84" s="3">
        <f>IFERROR(INDEX(Table1[Amount],MATCH(Table2[[#This Row],[Reference]],Table1[DocNo],0)),0)</f>
        <v>-2934.68</v>
      </c>
      <c r="G84" s="3">
        <f>IF(Table2[[#This Row],[GL Count]]=0,0,ROUND(Table2[[#This Row],[Amount]]-Table2[[#This Row],[GL Amount]],2))</f>
        <v>0</v>
      </c>
      <c r="H84" t="str">
        <f>IF(Table2[[#This Row],[GL Count]]=0,"Bank only",IF(Table2[[#This Row],[Difference]]&lt;&gt;0,"Amount difference","Matched"))</f>
        <v>Matched</v>
      </c>
    </row>
    <row r="85" spans="1:8" x14ac:dyDescent="0.45">
      <c r="A85" s="1">
        <v>46192</v>
      </c>
      <c r="B85" t="s">
        <v>213</v>
      </c>
      <c r="C85" t="s">
        <v>88</v>
      </c>
      <c r="D85">
        <v>30144.87</v>
      </c>
      <c r="E85">
        <f>COUNTIFS(Table1[DocNo],Table2[[#This Row],[Reference]])</f>
        <v>1</v>
      </c>
      <c r="F85" s="3">
        <f>IFERROR(INDEX(Table1[Amount],MATCH(Table2[[#This Row],[Reference]],Table1[DocNo],0)),0)</f>
        <v>30144.87</v>
      </c>
      <c r="G85" s="3">
        <f>IF(Table2[[#This Row],[GL Count]]=0,0,ROUND(Table2[[#This Row],[Amount]]-Table2[[#This Row],[GL Amount]],2))</f>
        <v>0</v>
      </c>
      <c r="H85" t="str">
        <f>IF(Table2[[#This Row],[GL Count]]=0,"Bank only",IF(Table2[[#This Row],[Difference]]&lt;&gt;0,"Amount difference","Matched"))</f>
        <v>Matched</v>
      </c>
    </row>
    <row r="86" spans="1:8" x14ac:dyDescent="0.45">
      <c r="A86" s="1">
        <v>46192</v>
      </c>
      <c r="B86" t="s">
        <v>214</v>
      </c>
      <c r="C86" t="s">
        <v>89</v>
      </c>
      <c r="D86">
        <v>-17410.259999999998</v>
      </c>
      <c r="E86">
        <f>COUNTIFS(Table1[DocNo],Table2[[#This Row],[Reference]])</f>
        <v>1</v>
      </c>
      <c r="F86" s="3">
        <f>IFERROR(INDEX(Table1[Amount],MATCH(Table2[[#This Row],[Reference]],Table1[DocNo],0)),0)</f>
        <v>-17410.259999999998</v>
      </c>
      <c r="G86" s="3">
        <f>IF(Table2[[#This Row],[GL Count]]=0,0,ROUND(Table2[[#This Row],[Amount]]-Table2[[#This Row],[GL Amount]],2))</f>
        <v>0</v>
      </c>
      <c r="H86" t="str">
        <f>IF(Table2[[#This Row],[GL Count]]=0,"Bank only",IF(Table2[[#This Row],[Difference]]&lt;&gt;0,"Amount difference","Matched"))</f>
        <v>Matched</v>
      </c>
    </row>
    <row r="87" spans="1:8" x14ac:dyDescent="0.45">
      <c r="A87" s="1">
        <v>46192</v>
      </c>
      <c r="B87" t="s">
        <v>215</v>
      </c>
      <c r="C87" t="s">
        <v>91</v>
      </c>
      <c r="D87">
        <v>-10385.290000000001</v>
      </c>
      <c r="E87">
        <f>COUNTIFS(Table1[DocNo],Table2[[#This Row],[Reference]])</f>
        <v>1</v>
      </c>
      <c r="F87" s="3">
        <f>IFERROR(INDEX(Table1[Amount],MATCH(Table2[[#This Row],[Reference]],Table1[DocNo],0)),0)</f>
        <v>-10385.290000000001</v>
      </c>
      <c r="G87" s="3">
        <f>IF(Table2[[#This Row],[GL Count]]=0,0,ROUND(Table2[[#This Row],[Amount]]-Table2[[#This Row],[GL Amount]],2))</f>
        <v>0</v>
      </c>
      <c r="H87" t="str">
        <f>IF(Table2[[#This Row],[GL Count]]=0,"Bank only",IF(Table2[[#This Row],[Difference]]&lt;&gt;0,"Amount difference","Matched"))</f>
        <v>Matched</v>
      </c>
    </row>
    <row r="88" spans="1:8" x14ac:dyDescent="0.45">
      <c r="A88" s="1">
        <v>46192</v>
      </c>
      <c r="B88" t="s">
        <v>216</v>
      </c>
      <c r="C88" t="s">
        <v>92</v>
      </c>
      <c r="D88">
        <v>-14976.01</v>
      </c>
      <c r="E88">
        <f>COUNTIFS(Table1[DocNo],Table2[[#This Row],[Reference]])</f>
        <v>1</v>
      </c>
      <c r="F88" s="3">
        <f>IFERROR(INDEX(Table1[Amount],MATCH(Table2[[#This Row],[Reference]],Table1[DocNo],0)),0)</f>
        <v>-14976.01</v>
      </c>
      <c r="G88" s="3">
        <f>IF(Table2[[#This Row],[GL Count]]=0,0,ROUND(Table2[[#This Row],[Amount]]-Table2[[#This Row],[GL Amount]],2))</f>
        <v>0</v>
      </c>
      <c r="H88" t="str">
        <f>IF(Table2[[#This Row],[GL Count]]=0,"Bank only",IF(Table2[[#This Row],[Difference]]&lt;&gt;0,"Amount difference","Matched"))</f>
        <v>Matched</v>
      </c>
    </row>
    <row r="89" spans="1:8" x14ac:dyDescent="0.45">
      <c r="A89" s="1">
        <v>46195</v>
      </c>
      <c r="B89" t="s">
        <v>217</v>
      </c>
      <c r="C89" t="s">
        <v>100</v>
      </c>
      <c r="D89">
        <v>-14341.45</v>
      </c>
      <c r="E89">
        <f>COUNTIFS(Table1[DocNo],Table2[[#This Row],[Reference]])</f>
        <v>1</v>
      </c>
      <c r="F89" s="3">
        <f>IFERROR(INDEX(Table1[Amount],MATCH(Table2[[#This Row],[Reference]],Table1[DocNo],0)),0)</f>
        <v>-14341.45</v>
      </c>
      <c r="G89" s="3">
        <f>IF(Table2[[#This Row],[GL Count]]=0,0,ROUND(Table2[[#This Row],[Amount]]-Table2[[#This Row],[GL Amount]],2))</f>
        <v>0</v>
      </c>
      <c r="H89" t="str">
        <f>IF(Table2[[#This Row],[GL Count]]=0,"Bank only",IF(Table2[[#This Row],[Difference]]&lt;&gt;0,"Amount difference","Matched"))</f>
        <v>Matched</v>
      </c>
    </row>
    <row r="90" spans="1:8" x14ac:dyDescent="0.45">
      <c r="A90" s="1">
        <v>46195</v>
      </c>
      <c r="B90" t="s">
        <v>218</v>
      </c>
      <c r="C90" t="s">
        <v>95</v>
      </c>
      <c r="D90">
        <v>-13390.63</v>
      </c>
      <c r="E90">
        <f>COUNTIFS(Table1[DocNo],Table2[[#This Row],[Reference]])</f>
        <v>1</v>
      </c>
      <c r="F90" s="3">
        <f>IFERROR(INDEX(Table1[Amount],MATCH(Table2[[#This Row],[Reference]],Table1[DocNo],0)),0)</f>
        <v>-13390.63</v>
      </c>
      <c r="G90" s="3">
        <f>IF(Table2[[#This Row],[GL Count]]=0,0,ROUND(Table2[[#This Row],[Amount]]-Table2[[#This Row],[GL Amount]],2))</f>
        <v>0</v>
      </c>
      <c r="H90" t="str">
        <f>IF(Table2[[#This Row],[GL Count]]=0,"Bank only",IF(Table2[[#This Row],[Difference]]&lt;&gt;0,"Amount difference","Matched"))</f>
        <v>Matched</v>
      </c>
    </row>
    <row r="91" spans="1:8" x14ac:dyDescent="0.45">
      <c r="A91" s="1">
        <v>46195</v>
      </c>
      <c r="B91" t="s">
        <v>219</v>
      </c>
      <c r="C91" t="s">
        <v>83</v>
      </c>
      <c r="D91">
        <v>-3495.61</v>
      </c>
      <c r="E91">
        <f>COUNTIFS(Table1[DocNo],Table2[[#This Row],[Reference]])</f>
        <v>1</v>
      </c>
      <c r="F91" s="3">
        <f>IFERROR(INDEX(Table1[Amount],MATCH(Table2[[#This Row],[Reference]],Table1[DocNo],0)),0)</f>
        <v>-3495.61</v>
      </c>
      <c r="G91" s="3">
        <f>IF(Table2[[#This Row],[GL Count]]=0,0,ROUND(Table2[[#This Row],[Amount]]-Table2[[#This Row],[GL Amount]],2))</f>
        <v>0</v>
      </c>
      <c r="H91" t="str">
        <f>IF(Table2[[#This Row],[GL Count]]=0,"Bank only",IF(Table2[[#This Row],[Difference]]&lt;&gt;0,"Amount difference","Matched"))</f>
        <v>Matched</v>
      </c>
    </row>
    <row r="92" spans="1:8" x14ac:dyDescent="0.45">
      <c r="A92" s="1">
        <v>46195</v>
      </c>
      <c r="B92" t="s">
        <v>220</v>
      </c>
      <c r="C92" t="s">
        <v>97</v>
      </c>
      <c r="D92">
        <v>-9603.9500000000007</v>
      </c>
      <c r="E92">
        <f>COUNTIFS(Table1[DocNo],Table2[[#This Row],[Reference]])</f>
        <v>1</v>
      </c>
      <c r="F92" s="3">
        <f>IFERROR(INDEX(Table1[Amount],MATCH(Table2[[#This Row],[Reference]],Table1[DocNo],0)),0)</f>
        <v>-9603.9500000000007</v>
      </c>
      <c r="G92" s="3">
        <f>IF(Table2[[#This Row],[GL Count]]=0,0,ROUND(Table2[[#This Row],[Amount]]-Table2[[#This Row],[GL Amount]],2))</f>
        <v>0</v>
      </c>
      <c r="H92" t="str">
        <f>IF(Table2[[#This Row],[GL Count]]=0,"Bank only",IF(Table2[[#This Row],[Difference]]&lt;&gt;0,"Amount difference","Matched"))</f>
        <v>Matched</v>
      </c>
    </row>
    <row r="93" spans="1:8" x14ac:dyDescent="0.45">
      <c r="A93" s="1">
        <v>46195</v>
      </c>
      <c r="B93" t="s">
        <v>221</v>
      </c>
      <c r="C93" t="s">
        <v>96</v>
      </c>
      <c r="D93">
        <v>59150.99</v>
      </c>
      <c r="E93">
        <f>COUNTIFS(Table1[DocNo],Table2[[#This Row],[Reference]])</f>
        <v>1</v>
      </c>
      <c r="F93" s="3">
        <f>IFERROR(INDEX(Table1[Amount],MATCH(Table2[[#This Row],[Reference]],Table1[DocNo],0)),0)</f>
        <v>59150.99</v>
      </c>
      <c r="G93" s="3">
        <f>IF(Table2[[#This Row],[GL Count]]=0,0,ROUND(Table2[[#This Row],[Amount]]-Table2[[#This Row],[GL Amount]],2))</f>
        <v>0</v>
      </c>
      <c r="H93" t="str">
        <f>IF(Table2[[#This Row],[GL Count]]=0,"Bank only",IF(Table2[[#This Row],[Difference]]&lt;&gt;0,"Amount difference","Matched"))</f>
        <v>Matched</v>
      </c>
    </row>
    <row r="94" spans="1:8" x14ac:dyDescent="0.45">
      <c r="A94" s="1">
        <v>46195</v>
      </c>
      <c r="B94" t="s">
        <v>222</v>
      </c>
      <c r="C94" t="s">
        <v>94</v>
      </c>
      <c r="D94">
        <v>-9274.7900000000009</v>
      </c>
      <c r="E94">
        <f>COUNTIFS(Table1[DocNo],Table2[[#This Row],[Reference]])</f>
        <v>1</v>
      </c>
      <c r="F94" s="3">
        <f>IFERROR(INDEX(Table1[Amount],MATCH(Table2[[#This Row],[Reference]],Table1[DocNo],0)),0)</f>
        <v>-9274.16</v>
      </c>
      <c r="G94" s="3">
        <f>IF(Table2[[#This Row],[GL Count]]=0,0,ROUND(Table2[[#This Row],[Amount]]-Table2[[#This Row],[GL Amount]],2))</f>
        <v>-0.63</v>
      </c>
      <c r="H94" t="str">
        <f>IF(Table2[[#This Row],[GL Count]]=0,"Bank only",IF(Table2[[#This Row],[Difference]]&lt;&gt;0,"Amount difference","Matched"))</f>
        <v>Amount difference</v>
      </c>
    </row>
    <row r="95" spans="1:8" x14ac:dyDescent="0.45">
      <c r="A95" s="1">
        <v>46195</v>
      </c>
      <c r="B95" t="s">
        <v>223</v>
      </c>
      <c r="C95" t="s">
        <v>102</v>
      </c>
      <c r="D95">
        <v>-18548.060000000001</v>
      </c>
      <c r="E95">
        <f>COUNTIFS(Table1[DocNo],Table2[[#This Row],[Reference]])</f>
        <v>1</v>
      </c>
      <c r="F95" s="3">
        <f>IFERROR(INDEX(Table1[Amount],MATCH(Table2[[#This Row],[Reference]],Table1[DocNo],0)),0)</f>
        <v>-18548.060000000001</v>
      </c>
      <c r="G95" s="3">
        <f>IF(Table2[[#This Row],[GL Count]]=0,0,ROUND(Table2[[#This Row],[Amount]]-Table2[[#This Row],[GL Amount]],2))</f>
        <v>0</v>
      </c>
      <c r="H95" t="str">
        <f>IF(Table2[[#This Row],[GL Count]]=0,"Bank only",IF(Table2[[#This Row],[Difference]]&lt;&gt;0,"Amount difference","Matched"))</f>
        <v>Matched</v>
      </c>
    </row>
    <row r="96" spans="1:8" x14ac:dyDescent="0.45">
      <c r="A96" s="1">
        <v>46195</v>
      </c>
      <c r="B96" t="s">
        <v>224</v>
      </c>
      <c r="C96" t="s">
        <v>225</v>
      </c>
      <c r="D96">
        <v>-389.44</v>
      </c>
      <c r="E96">
        <f>COUNTIFS(Table1[DocNo],Table2[[#This Row],[Reference]])</f>
        <v>0</v>
      </c>
      <c r="F96" s="3">
        <f>IFERROR(INDEX(Table1[Amount],MATCH(Table2[[#This Row],[Reference]],Table1[DocNo],0)),0)</f>
        <v>0</v>
      </c>
      <c r="G96" s="3">
        <f>IF(Table2[[#This Row],[GL Count]]=0,0,ROUND(Table2[[#This Row],[Amount]]-Table2[[#This Row],[GL Amount]],2))</f>
        <v>0</v>
      </c>
      <c r="H96" t="str">
        <f>IF(Table2[[#This Row],[GL Count]]=0,"Bank only",IF(Table2[[#This Row],[Difference]]&lt;&gt;0,"Amount difference","Matched"))</f>
        <v>Bank only</v>
      </c>
    </row>
    <row r="97" spans="1:8" x14ac:dyDescent="0.45">
      <c r="A97" s="1">
        <v>46195</v>
      </c>
      <c r="B97" t="s">
        <v>226</v>
      </c>
      <c r="C97" t="s">
        <v>98</v>
      </c>
      <c r="D97">
        <v>-19936.419999999998</v>
      </c>
      <c r="E97">
        <f>COUNTIFS(Table1[DocNo],Table2[[#This Row],[Reference]])</f>
        <v>1</v>
      </c>
      <c r="F97" s="3">
        <f>IFERROR(INDEX(Table1[Amount],MATCH(Table2[[#This Row],[Reference]],Table1[DocNo],0)),0)</f>
        <v>-19936.419999999998</v>
      </c>
      <c r="G97" s="3">
        <f>IF(Table2[[#This Row],[GL Count]]=0,0,ROUND(Table2[[#This Row],[Amount]]-Table2[[#This Row],[GL Amount]],2))</f>
        <v>0</v>
      </c>
      <c r="H97" t="str">
        <f>IF(Table2[[#This Row],[GL Count]]=0,"Bank only",IF(Table2[[#This Row],[Difference]]&lt;&gt;0,"Amount difference","Matched"))</f>
        <v>Matched</v>
      </c>
    </row>
    <row r="98" spans="1:8" x14ac:dyDescent="0.45">
      <c r="A98" s="1">
        <v>46195</v>
      </c>
      <c r="B98" t="s">
        <v>227</v>
      </c>
      <c r="C98" t="s">
        <v>99</v>
      </c>
      <c r="D98">
        <v>-12259.66</v>
      </c>
      <c r="E98">
        <f>COUNTIFS(Table1[DocNo],Table2[[#This Row],[Reference]])</f>
        <v>1</v>
      </c>
      <c r="F98" s="3">
        <f>IFERROR(INDEX(Table1[Amount],MATCH(Table2[[#This Row],[Reference]],Table1[DocNo],0)),0)</f>
        <v>-12259.66</v>
      </c>
      <c r="G98" s="3">
        <f>IF(Table2[[#This Row],[GL Count]]=0,0,ROUND(Table2[[#This Row],[Amount]]-Table2[[#This Row],[GL Amount]],2))</f>
        <v>0</v>
      </c>
      <c r="H98" t="str">
        <f>IF(Table2[[#This Row],[GL Count]]=0,"Bank only",IF(Table2[[#This Row],[Difference]]&lt;&gt;0,"Amount difference","Matched"))</f>
        <v>Matched</v>
      </c>
    </row>
    <row r="99" spans="1:8" x14ac:dyDescent="0.45">
      <c r="A99" s="1">
        <v>46195</v>
      </c>
      <c r="B99" t="s">
        <v>228</v>
      </c>
      <c r="C99" t="s">
        <v>103</v>
      </c>
      <c r="D99">
        <v>-1887.08</v>
      </c>
      <c r="E99">
        <f>COUNTIFS(Table1[DocNo],Table2[[#This Row],[Reference]])</f>
        <v>1</v>
      </c>
      <c r="F99" s="3">
        <f>IFERROR(INDEX(Table1[Amount],MATCH(Table2[[#This Row],[Reference]],Table1[DocNo],0)),0)</f>
        <v>-1887.53</v>
      </c>
      <c r="G99" s="3">
        <f>IF(Table2[[#This Row],[GL Count]]=0,0,ROUND(Table2[[#This Row],[Amount]]-Table2[[#This Row],[GL Amount]],2))</f>
        <v>0.45</v>
      </c>
      <c r="H99" t="str">
        <f>IF(Table2[[#This Row],[GL Count]]=0,"Bank only",IF(Table2[[#This Row],[Difference]]&lt;&gt;0,"Amount difference","Matched"))</f>
        <v>Amount difference</v>
      </c>
    </row>
    <row r="100" spans="1:8" x14ac:dyDescent="0.45">
      <c r="A100" s="1">
        <v>46195</v>
      </c>
      <c r="B100" t="s">
        <v>229</v>
      </c>
      <c r="C100" t="s">
        <v>105</v>
      </c>
      <c r="D100">
        <v>-6649.18</v>
      </c>
      <c r="E100">
        <f>COUNTIFS(Table1[DocNo],Table2[[#This Row],[Reference]])</f>
        <v>1</v>
      </c>
      <c r="F100" s="3">
        <f>IFERROR(INDEX(Table1[Amount],MATCH(Table2[[#This Row],[Reference]],Table1[DocNo],0)),0)</f>
        <v>-6648.91</v>
      </c>
      <c r="G100" s="3">
        <f>IF(Table2[[#This Row],[GL Count]]=0,0,ROUND(Table2[[#This Row],[Amount]]-Table2[[#This Row],[GL Amount]],2))</f>
        <v>-0.27</v>
      </c>
      <c r="H100" t="str">
        <f>IF(Table2[[#This Row],[GL Count]]=0,"Bank only",IF(Table2[[#This Row],[Difference]]&lt;&gt;0,"Amount difference","Matched"))</f>
        <v>Amount difference</v>
      </c>
    </row>
    <row r="101" spans="1:8" x14ac:dyDescent="0.45">
      <c r="A101" s="1">
        <v>46196</v>
      </c>
      <c r="B101" t="s">
        <v>230</v>
      </c>
      <c r="C101" t="s">
        <v>104</v>
      </c>
      <c r="D101">
        <v>-22691.11</v>
      </c>
      <c r="E101">
        <f>COUNTIFS(Table1[DocNo],Table2[[#This Row],[Reference]])</f>
        <v>1</v>
      </c>
      <c r="F101" s="3">
        <f>IFERROR(INDEX(Table1[Amount],MATCH(Table2[[#This Row],[Reference]],Table1[DocNo],0)),0)</f>
        <v>-22691.11</v>
      </c>
      <c r="G101" s="3">
        <f>IF(Table2[[#This Row],[GL Count]]=0,0,ROUND(Table2[[#This Row],[Amount]]-Table2[[#This Row],[GL Amount]],2))</f>
        <v>0</v>
      </c>
      <c r="H101" t="str">
        <f>IF(Table2[[#This Row],[GL Count]]=0,"Bank only",IF(Table2[[#This Row],[Difference]]&lt;&gt;0,"Amount difference","Matched"))</f>
        <v>Matched</v>
      </c>
    </row>
    <row r="102" spans="1:8" x14ac:dyDescent="0.45">
      <c r="A102" s="1">
        <v>46197</v>
      </c>
      <c r="B102" t="s">
        <v>231</v>
      </c>
      <c r="C102" t="s">
        <v>106</v>
      </c>
      <c r="D102">
        <v>-10531.31</v>
      </c>
      <c r="E102">
        <f>COUNTIFS(Table1[DocNo],Table2[[#This Row],[Reference]])</f>
        <v>1</v>
      </c>
      <c r="F102" s="3">
        <f>IFERROR(INDEX(Table1[Amount],MATCH(Table2[[#This Row],[Reference]],Table1[DocNo],0)),0)</f>
        <v>-10531.31</v>
      </c>
      <c r="G102" s="3">
        <f>IF(Table2[[#This Row],[GL Count]]=0,0,ROUND(Table2[[#This Row],[Amount]]-Table2[[#This Row],[GL Amount]],2))</f>
        <v>0</v>
      </c>
      <c r="H102" t="str">
        <f>IF(Table2[[#This Row],[GL Count]]=0,"Bank only",IF(Table2[[#This Row],[Difference]]&lt;&gt;0,"Amount difference","Matched"))</f>
        <v>Matched</v>
      </c>
    </row>
    <row r="103" spans="1:8" x14ac:dyDescent="0.45">
      <c r="A103" s="1">
        <v>46197</v>
      </c>
      <c r="B103" t="s">
        <v>232</v>
      </c>
      <c r="C103" t="s">
        <v>101</v>
      </c>
      <c r="D103">
        <v>-7694.16</v>
      </c>
      <c r="E103">
        <f>COUNTIFS(Table1[DocNo],Table2[[#This Row],[Reference]])</f>
        <v>1</v>
      </c>
      <c r="F103" s="3">
        <f>IFERROR(INDEX(Table1[Amount],MATCH(Table2[[#This Row],[Reference]],Table1[DocNo],0)),0)</f>
        <v>-7694.16</v>
      </c>
      <c r="G103" s="3">
        <f>IF(Table2[[#This Row],[GL Count]]=0,0,ROUND(Table2[[#This Row],[Amount]]-Table2[[#This Row],[GL Amount]],2))</f>
        <v>0</v>
      </c>
      <c r="H103" t="str">
        <f>IF(Table2[[#This Row],[GL Count]]=0,"Bank only",IF(Table2[[#This Row],[Difference]]&lt;&gt;0,"Amount difference","Matched"))</f>
        <v>Matched</v>
      </c>
    </row>
    <row r="104" spans="1:8" x14ac:dyDescent="0.45">
      <c r="A104" s="1">
        <v>46197</v>
      </c>
      <c r="B104" t="s">
        <v>233</v>
      </c>
      <c r="C104" t="s">
        <v>109</v>
      </c>
      <c r="D104">
        <v>30455.14</v>
      </c>
      <c r="E104">
        <f>COUNTIFS(Table1[DocNo],Table2[[#This Row],[Reference]])</f>
        <v>1</v>
      </c>
      <c r="F104" s="3">
        <f>IFERROR(INDEX(Table1[Amount],MATCH(Table2[[#This Row],[Reference]],Table1[DocNo],0)),0)</f>
        <v>30455.14</v>
      </c>
      <c r="G104" s="3">
        <f>IF(Table2[[#This Row],[GL Count]]=0,0,ROUND(Table2[[#This Row],[Amount]]-Table2[[#This Row],[GL Amount]],2))</f>
        <v>0</v>
      </c>
      <c r="H104" t="str">
        <f>IF(Table2[[#This Row],[GL Count]]=0,"Bank only",IF(Table2[[#This Row],[Difference]]&lt;&gt;0,"Amount difference","Matched"))</f>
        <v>Matched</v>
      </c>
    </row>
    <row r="105" spans="1:8" x14ac:dyDescent="0.45">
      <c r="A105" s="1">
        <v>46197</v>
      </c>
      <c r="B105" t="s">
        <v>234</v>
      </c>
      <c r="C105" t="s">
        <v>107</v>
      </c>
      <c r="D105">
        <v>-22899.9</v>
      </c>
      <c r="E105">
        <f>COUNTIFS(Table1[DocNo],Table2[[#This Row],[Reference]])</f>
        <v>1</v>
      </c>
      <c r="F105" s="3">
        <f>IFERROR(INDEX(Table1[Amount],MATCH(Table2[[#This Row],[Reference]],Table1[DocNo],0)),0)</f>
        <v>-22899.9</v>
      </c>
      <c r="G105" s="3">
        <f>IF(Table2[[#This Row],[GL Count]]=0,0,ROUND(Table2[[#This Row],[Amount]]-Table2[[#This Row],[GL Amount]],2))</f>
        <v>0</v>
      </c>
      <c r="H105" t="str">
        <f>IF(Table2[[#This Row],[GL Count]]=0,"Bank only",IF(Table2[[#This Row],[Difference]]&lt;&gt;0,"Amount difference","Matched"))</f>
        <v>Matched</v>
      </c>
    </row>
    <row r="106" spans="1:8" x14ac:dyDescent="0.45">
      <c r="A106" s="1">
        <v>46197</v>
      </c>
      <c r="B106" t="s">
        <v>235</v>
      </c>
      <c r="C106" t="s">
        <v>121</v>
      </c>
      <c r="D106">
        <v>-13902.08</v>
      </c>
      <c r="E106">
        <f>COUNTIFS(Table1[DocNo],Table2[[#This Row],[Reference]])</f>
        <v>1</v>
      </c>
      <c r="F106" s="3">
        <f>IFERROR(INDEX(Table1[Amount],MATCH(Table2[[#This Row],[Reference]],Table1[DocNo],0)),0)</f>
        <v>-13902.44</v>
      </c>
      <c r="G106" s="3">
        <f>IF(Table2[[#This Row],[GL Count]]=0,0,ROUND(Table2[[#This Row],[Amount]]-Table2[[#This Row],[GL Amount]],2))</f>
        <v>0.36</v>
      </c>
      <c r="H106" t="str">
        <f>IF(Table2[[#This Row],[GL Count]]=0,"Bank only",IF(Table2[[#This Row],[Difference]]&lt;&gt;0,"Amount difference","Matched"))</f>
        <v>Amount difference</v>
      </c>
    </row>
    <row r="107" spans="1:8" x14ac:dyDescent="0.45">
      <c r="A107" s="1">
        <v>46197</v>
      </c>
      <c r="B107" t="s">
        <v>236</v>
      </c>
      <c r="C107" t="s">
        <v>108</v>
      </c>
      <c r="D107">
        <v>-16540.939999999999</v>
      </c>
      <c r="E107">
        <f>COUNTIFS(Table1[DocNo],Table2[[#This Row],[Reference]])</f>
        <v>1</v>
      </c>
      <c r="F107" s="3">
        <f>IFERROR(INDEX(Table1[Amount],MATCH(Table2[[#This Row],[Reference]],Table1[DocNo],0)),0)</f>
        <v>-16540.939999999999</v>
      </c>
      <c r="G107" s="3">
        <f>IF(Table2[[#This Row],[GL Count]]=0,0,ROUND(Table2[[#This Row],[Amount]]-Table2[[#This Row],[GL Amount]],2))</f>
        <v>0</v>
      </c>
      <c r="H107" t="str">
        <f>IF(Table2[[#This Row],[GL Count]]=0,"Bank only",IF(Table2[[#This Row],[Difference]]&lt;&gt;0,"Amount difference","Matched"))</f>
        <v>Matched</v>
      </c>
    </row>
    <row r="108" spans="1:8" x14ac:dyDescent="0.45">
      <c r="A108" s="1">
        <v>46198</v>
      </c>
      <c r="B108" t="s">
        <v>237</v>
      </c>
      <c r="C108" t="s">
        <v>113</v>
      </c>
      <c r="D108">
        <v>-20256.73</v>
      </c>
      <c r="E108">
        <f>COUNTIFS(Table1[DocNo],Table2[[#This Row],[Reference]])</f>
        <v>1</v>
      </c>
      <c r="F108" s="3">
        <f>IFERROR(INDEX(Table1[Amount],MATCH(Table2[[#This Row],[Reference]],Table1[DocNo],0)),0)</f>
        <v>-20256.73</v>
      </c>
      <c r="G108" s="3">
        <f>IF(Table2[[#This Row],[GL Count]]=0,0,ROUND(Table2[[#This Row],[Amount]]-Table2[[#This Row],[GL Amount]],2))</f>
        <v>0</v>
      </c>
      <c r="H108" t="str">
        <f>IF(Table2[[#This Row],[GL Count]]=0,"Bank only",IF(Table2[[#This Row],[Difference]]&lt;&gt;0,"Amount difference","Matched"))</f>
        <v>Matched</v>
      </c>
    </row>
    <row r="109" spans="1:8" x14ac:dyDescent="0.45">
      <c r="A109" s="1">
        <v>46198</v>
      </c>
      <c r="B109" t="s">
        <v>238</v>
      </c>
      <c r="C109" t="s">
        <v>93</v>
      </c>
      <c r="D109">
        <v>-7966.03</v>
      </c>
      <c r="E109">
        <f>COUNTIFS(Table1[DocNo],Table2[[#This Row],[Reference]])</f>
        <v>1</v>
      </c>
      <c r="F109" s="3">
        <f>IFERROR(INDEX(Table1[Amount],MATCH(Table2[[#This Row],[Reference]],Table1[DocNo],0)),0)</f>
        <v>-7966.03</v>
      </c>
      <c r="G109" s="3">
        <f>IF(Table2[[#This Row],[GL Count]]=0,0,ROUND(Table2[[#This Row],[Amount]]-Table2[[#This Row],[GL Amount]],2))</f>
        <v>0</v>
      </c>
      <c r="H109" t="str">
        <f>IF(Table2[[#This Row],[GL Count]]=0,"Bank only",IF(Table2[[#This Row],[Difference]]&lt;&gt;0,"Amount difference","Matched"))</f>
        <v>Matched</v>
      </c>
    </row>
    <row r="110" spans="1:8" x14ac:dyDescent="0.45">
      <c r="A110" s="1">
        <v>46198</v>
      </c>
      <c r="B110" t="s">
        <v>239</v>
      </c>
      <c r="C110" t="s">
        <v>111</v>
      </c>
      <c r="D110">
        <v>-19617.669999999998</v>
      </c>
      <c r="E110">
        <f>COUNTIFS(Table1[DocNo],Table2[[#This Row],[Reference]])</f>
        <v>1</v>
      </c>
      <c r="F110" s="3">
        <f>IFERROR(INDEX(Table1[Amount],MATCH(Table2[[#This Row],[Reference]],Table1[DocNo],0)),0)</f>
        <v>-19617.669999999998</v>
      </c>
      <c r="G110" s="3">
        <f>IF(Table2[[#This Row],[GL Count]]=0,0,ROUND(Table2[[#This Row],[Amount]]-Table2[[#This Row],[GL Amount]],2))</f>
        <v>0</v>
      </c>
      <c r="H110" t="str">
        <f>IF(Table2[[#This Row],[GL Count]]=0,"Bank only",IF(Table2[[#This Row],[Difference]]&lt;&gt;0,"Amount difference","Matched"))</f>
        <v>Matched</v>
      </c>
    </row>
    <row r="111" spans="1:8" x14ac:dyDescent="0.45">
      <c r="A111" s="1">
        <v>46198</v>
      </c>
      <c r="B111" t="s">
        <v>240</v>
      </c>
      <c r="C111" t="s">
        <v>110</v>
      </c>
      <c r="D111">
        <v>-5308.77</v>
      </c>
      <c r="E111">
        <f>COUNTIFS(Table1[DocNo],Table2[[#This Row],[Reference]])</f>
        <v>1</v>
      </c>
      <c r="F111" s="3">
        <f>IFERROR(INDEX(Table1[Amount],MATCH(Table2[[#This Row],[Reference]],Table1[DocNo],0)),0)</f>
        <v>-5308.77</v>
      </c>
      <c r="G111" s="3">
        <f>IF(Table2[[#This Row],[GL Count]]=0,0,ROUND(Table2[[#This Row],[Amount]]-Table2[[#This Row],[GL Amount]],2))</f>
        <v>0</v>
      </c>
      <c r="H111" t="str">
        <f>IF(Table2[[#This Row],[GL Count]]=0,"Bank only",IF(Table2[[#This Row],[Difference]]&lt;&gt;0,"Amount difference","Matched"))</f>
        <v>Matched</v>
      </c>
    </row>
    <row r="112" spans="1:8" x14ac:dyDescent="0.45">
      <c r="A112" s="1">
        <v>46198</v>
      </c>
      <c r="B112" t="s">
        <v>241</v>
      </c>
      <c r="C112" t="s">
        <v>112</v>
      </c>
      <c r="D112">
        <v>-7711.34</v>
      </c>
      <c r="E112">
        <f>COUNTIFS(Table1[DocNo],Table2[[#This Row],[Reference]])</f>
        <v>1</v>
      </c>
      <c r="F112" s="3">
        <f>IFERROR(INDEX(Table1[Amount],MATCH(Table2[[#This Row],[Reference]],Table1[DocNo],0)),0)</f>
        <v>-7711.34</v>
      </c>
      <c r="G112" s="3">
        <f>IF(Table2[[#This Row],[GL Count]]=0,0,ROUND(Table2[[#This Row],[Amount]]-Table2[[#This Row],[GL Amount]],2))</f>
        <v>0</v>
      </c>
      <c r="H112" t="str">
        <f>IF(Table2[[#This Row],[GL Count]]=0,"Bank only",IF(Table2[[#This Row],[Difference]]&lt;&gt;0,"Amount difference","Matched"))</f>
        <v>Matched</v>
      </c>
    </row>
    <row r="113" spans="1:8" x14ac:dyDescent="0.45">
      <c r="A113" s="1">
        <v>46198</v>
      </c>
      <c r="B113" t="s">
        <v>242</v>
      </c>
      <c r="C113" t="s">
        <v>243</v>
      </c>
      <c r="D113">
        <v>-1260</v>
      </c>
      <c r="E113">
        <f>COUNTIFS(Table1[DocNo],Table2[[#This Row],[Reference]])</f>
        <v>0</v>
      </c>
      <c r="F113" s="3">
        <f>IFERROR(INDEX(Table1[Amount],MATCH(Table2[[#This Row],[Reference]],Table1[DocNo],0)),0)</f>
        <v>0</v>
      </c>
      <c r="G113" s="3">
        <f>IF(Table2[[#This Row],[GL Count]]=0,0,ROUND(Table2[[#This Row],[Amount]]-Table2[[#This Row],[GL Amount]],2))</f>
        <v>0</v>
      </c>
      <c r="H113" t="str">
        <f>IF(Table2[[#This Row],[GL Count]]=0,"Bank only",IF(Table2[[#This Row],[Difference]]&lt;&gt;0,"Amount difference","Matched"))</f>
        <v>Bank only</v>
      </c>
    </row>
    <row r="114" spans="1:8" x14ac:dyDescent="0.45">
      <c r="A114" s="1">
        <v>46199</v>
      </c>
      <c r="B114" t="s">
        <v>244</v>
      </c>
      <c r="C114" t="s">
        <v>245</v>
      </c>
      <c r="D114">
        <v>2150</v>
      </c>
      <c r="E114">
        <f>COUNTIFS(Table1[DocNo],Table2[[#This Row],[Reference]])</f>
        <v>0</v>
      </c>
      <c r="F114" s="3">
        <f>IFERROR(INDEX(Table1[Amount],MATCH(Table2[[#This Row],[Reference]],Table1[DocNo],0)),0)</f>
        <v>0</v>
      </c>
      <c r="G114" s="3">
        <f>IF(Table2[[#This Row],[GL Count]]=0,0,ROUND(Table2[[#This Row],[Amount]]-Table2[[#This Row],[GL Amount]],2))</f>
        <v>0</v>
      </c>
      <c r="H114" t="str">
        <f>IF(Table2[[#This Row],[GL Count]]=0,"Bank only",IF(Table2[[#This Row],[Difference]]&lt;&gt;0,"Amount difference","Matched"))</f>
        <v>Bank only</v>
      </c>
    </row>
    <row r="115" spans="1:8" x14ac:dyDescent="0.45">
      <c r="A115" s="1">
        <v>46199</v>
      </c>
      <c r="B115" t="s">
        <v>246</v>
      </c>
      <c r="C115" t="s">
        <v>114</v>
      </c>
      <c r="D115">
        <v>-15125.76</v>
      </c>
      <c r="E115">
        <f>COUNTIFS(Table1[DocNo],Table2[[#This Row],[Reference]])</f>
        <v>1</v>
      </c>
      <c r="F115" s="3">
        <f>IFERROR(INDEX(Table1[Amount],MATCH(Table2[[#This Row],[Reference]],Table1[DocNo],0)),0)</f>
        <v>-15125.76</v>
      </c>
      <c r="G115" s="3">
        <f>IF(Table2[[#This Row],[GL Count]]=0,0,ROUND(Table2[[#This Row],[Amount]]-Table2[[#This Row],[GL Amount]],2))</f>
        <v>0</v>
      </c>
      <c r="H115" t="str">
        <f>IF(Table2[[#This Row],[GL Count]]=0,"Bank only",IF(Table2[[#This Row],[Difference]]&lt;&gt;0,"Amount difference","Matched"))</f>
        <v>Matched</v>
      </c>
    </row>
    <row r="116" spans="1:8" x14ac:dyDescent="0.45">
      <c r="A116" s="1">
        <v>46199</v>
      </c>
      <c r="B116" t="s">
        <v>247</v>
      </c>
      <c r="C116" t="s">
        <v>120</v>
      </c>
      <c r="D116">
        <v>-8508.86</v>
      </c>
      <c r="E116">
        <f>COUNTIFS(Table1[DocNo],Table2[[#This Row],[Reference]])</f>
        <v>1</v>
      </c>
      <c r="F116" s="3">
        <f>IFERROR(INDEX(Table1[Amount],MATCH(Table2[[#This Row],[Reference]],Table1[DocNo],0)),0)</f>
        <v>-8508.86</v>
      </c>
      <c r="G116" s="3">
        <f>IF(Table2[[#This Row],[GL Count]]=0,0,ROUND(Table2[[#This Row],[Amount]]-Table2[[#This Row],[GL Amount]],2))</f>
        <v>0</v>
      </c>
      <c r="H116" t="str">
        <f>IF(Table2[[#This Row],[GL Count]]=0,"Bank only",IF(Table2[[#This Row],[Difference]]&lt;&gt;0,"Amount difference","Matched"))</f>
        <v>Matched</v>
      </c>
    </row>
    <row r="117" spans="1:8" x14ac:dyDescent="0.45">
      <c r="A117" s="1">
        <v>46199</v>
      </c>
      <c r="B117" t="s">
        <v>248</v>
      </c>
      <c r="C117" t="s">
        <v>116</v>
      </c>
      <c r="D117">
        <v>-22249.66</v>
      </c>
      <c r="E117">
        <f>COUNTIFS(Table1[DocNo],Table2[[#This Row],[Reference]])</f>
        <v>1</v>
      </c>
      <c r="F117" s="3">
        <f>IFERROR(INDEX(Table1[Amount],MATCH(Table2[[#This Row],[Reference]],Table1[DocNo],0)),0)</f>
        <v>-22249.66</v>
      </c>
      <c r="G117" s="3">
        <f>IF(Table2[[#This Row],[GL Count]]=0,0,ROUND(Table2[[#This Row],[Amount]]-Table2[[#This Row],[GL Amount]],2))</f>
        <v>0</v>
      </c>
      <c r="H117" t="str">
        <f>IF(Table2[[#This Row],[GL Count]]=0,"Bank only",IF(Table2[[#This Row],[Difference]]&lt;&gt;0,"Amount difference","Matched"))</f>
        <v>Matched</v>
      </c>
    </row>
    <row r="118" spans="1:8" x14ac:dyDescent="0.45">
      <c r="A118" s="1">
        <v>46199</v>
      </c>
      <c r="B118" t="s">
        <v>249</v>
      </c>
      <c r="C118" t="s">
        <v>117</v>
      </c>
      <c r="D118">
        <v>-20774.91</v>
      </c>
      <c r="E118">
        <f>COUNTIFS(Table1[DocNo],Table2[[#This Row],[Reference]])</f>
        <v>1</v>
      </c>
      <c r="F118" s="3">
        <f>IFERROR(INDEX(Table1[Amount],MATCH(Table2[[#This Row],[Reference]],Table1[DocNo],0)),0)</f>
        <v>-20774.91</v>
      </c>
      <c r="G118" s="3">
        <f>IF(Table2[[#This Row],[GL Count]]=0,0,ROUND(Table2[[#This Row],[Amount]]-Table2[[#This Row],[GL Amount]],2))</f>
        <v>0</v>
      </c>
      <c r="H118" t="str">
        <f>IF(Table2[[#This Row],[GL Count]]=0,"Bank only",IF(Table2[[#This Row],[Difference]]&lt;&gt;0,"Amount difference","Matched"))</f>
        <v>Matched</v>
      </c>
    </row>
    <row r="119" spans="1:8" x14ac:dyDescent="0.45">
      <c r="A119" s="1">
        <v>46199</v>
      </c>
      <c r="B119" t="s">
        <v>250</v>
      </c>
      <c r="C119" t="s">
        <v>118</v>
      </c>
      <c r="D119">
        <v>-6535.31</v>
      </c>
      <c r="E119">
        <f>COUNTIFS(Table1[DocNo],Table2[[#This Row],[Reference]])</f>
        <v>1</v>
      </c>
      <c r="F119" s="3">
        <f>IFERROR(INDEX(Table1[Amount],MATCH(Table2[[#This Row],[Reference]],Table1[DocNo],0)),0)</f>
        <v>-6535.31</v>
      </c>
      <c r="G119" s="3">
        <f>IF(Table2[[#This Row],[GL Count]]=0,0,ROUND(Table2[[#This Row],[Amount]]-Table2[[#This Row],[GL Amount]],2))</f>
        <v>0</v>
      </c>
      <c r="H119" t="str">
        <f>IF(Table2[[#This Row],[GL Count]]=0,"Bank only",IF(Table2[[#This Row],[Difference]]&lt;&gt;0,"Amount difference","Matched"))</f>
        <v>Matched</v>
      </c>
    </row>
    <row r="120" spans="1:8" x14ac:dyDescent="0.45">
      <c r="A120" s="1">
        <v>46199</v>
      </c>
      <c r="B120" t="s">
        <v>251</v>
      </c>
      <c r="C120" t="s">
        <v>119</v>
      </c>
      <c r="D120">
        <v>-22311.13</v>
      </c>
      <c r="E120">
        <f>COUNTIFS(Table1[DocNo],Table2[[#This Row],[Reference]])</f>
        <v>1</v>
      </c>
      <c r="F120" s="3">
        <f>IFERROR(INDEX(Table1[Amount],MATCH(Table2[[#This Row],[Reference]],Table1[DocNo],0)),0)</f>
        <v>-22311.13</v>
      </c>
      <c r="G120" s="3">
        <f>IF(Table2[[#This Row],[GL Count]]=0,0,ROUND(Table2[[#This Row],[Amount]]-Table2[[#This Row],[GL Amount]],2))</f>
        <v>0</v>
      </c>
      <c r="H120" t="str">
        <f>IF(Table2[[#This Row],[GL Count]]=0,"Bank only",IF(Table2[[#This Row],[Difference]]&lt;&gt;0,"Amount difference","Matched"))</f>
        <v>Matched</v>
      </c>
    </row>
    <row r="121" spans="1:8" x14ac:dyDescent="0.45">
      <c r="A121" s="1">
        <v>46203</v>
      </c>
      <c r="B121" t="s">
        <v>252</v>
      </c>
      <c r="C121" t="s">
        <v>253</v>
      </c>
      <c r="D121">
        <v>214.87</v>
      </c>
      <c r="E121">
        <f>COUNTIFS(Table1[DocNo],Table2[[#This Row],[Reference]])</f>
        <v>0</v>
      </c>
      <c r="F121" s="3">
        <f>IFERROR(INDEX(Table1[Amount],MATCH(Table2[[#This Row],[Reference]],Table1[DocNo],0)),0)</f>
        <v>0</v>
      </c>
      <c r="G121" s="3">
        <f>IF(Table2[[#This Row],[GL Count]]=0,0,ROUND(Table2[[#This Row],[Amount]]-Table2[[#This Row],[GL Amount]],2))</f>
        <v>0</v>
      </c>
      <c r="H121" t="str">
        <f>IF(Table2[[#This Row],[GL Count]]=0,"Bank only",IF(Table2[[#This Row],[Difference]]&lt;&gt;0,"Amount difference","Matched"))</f>
        <v>Bank only</v>
      </c>
    </row>
    <row r="122" spans="1:8" x14ac:dyDescent="0.45">
      <c r="A122" s="1">
        <v>46203</v>
      </c>
      <c r="B122" t="s">
        <v>254</v>
      </c>
      <c r="C122" t="s">
        <v>255</v>
      </c>
      <c r="D122">
        <v>-125</v>
      </c>
      <c r="E122">
        <f>COUNTIFS(Table1[DocNo],Table2[[#This Row],[Reference]])</f>
        <v>0</v>
      </c>
      <c r="F122" s="3">
        <f>IFERROR(INDEX(Table1[Amount],MATCH(Table2[[#This Row],[Reference]],Table1[DocNo],0)),0)</f>
        <v>0</v>
      </c>
      <c r="G122" s="3">
        <f>IF(Table2[[#This Row],[GL Count]]=0,0,ROUND(Table2[[#This Row],[Amount]]-Table2[[#This Row],[GL Amount]],2))</f>
        <v>0</v>
      </c>
      <c r="H122" t="str">
        <f>IF(Table2[[#This Row],[GL Count]]=0,"Bank only",IF(Table2[[#This Row],[Difference]]&lt;&gt;0,"Amount difference","Matched"))</f>
        <v>Bank only</v>
      </c>
    </row>
    <row r="123" spans="1:8" x14ac:dyDescent="0.45">
      <c r="A123" s="1">
        <v>46203</v>
      </c>
      <c r="B123" t="s">
        <v>256</v>
      </c>
      <c r="C123" t="s">
        <v>257</v>
      </c>
      <c r="D123">
        <v>-45</v>
      </c>
      <c r="E123">
        <f>COUNTIFS(Table1[DocNo],Table2[[#This Row],[Reference]])</f>
        <v>0</v>
      </c>
      <c r="F123" s="3">
        <f>IFERROR(INDEX(Table1[Amount],MATCH(Table2[[#This Row],[Reference]],Table1[DocNo],0)),0)</f>
        <v>0</v>
      </c>
      <c r="G123" s="3">
        <f>IF(Table2[[#This Row],[GL Count]]=0,0,ROUND(Table2[[#This Row],[Amount]]-Table2[[#This Row],[GL Amount]],2))</f>
        <v>0</v>
      </c>
      <c r="H123" t="str">
        <f>IF(Table2[[#This Row],[GL Count]]=0,"Bank only",IF(Table2[[#This Row],[Difference]]&lt;&gt;0,"Amount difference","Matched"))</f>
        <v>Bank only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61127-FAFA-4A66-B720-DAAA529676CA}">
  <dimension ref="A1:I123"/>
  <sheetViews>
    <sheetView workbookViewId="0">
      <selection sqref="A1:I1048576"/>
    </sheetView>
  </sheetViews>
  <sheetFormatPr defaultRowHeight="14.25" x14ac:dyDescent="0.45"/>
  <cols>
    <col min="1" max="1" width="8.9296875" bestFit="1" customWidth="1"/>
    <col min="2" max="2" width="17.19921875" bestFit="1" customWidth="1"/>
    <col min="3" max="3" width="33.46484375" bestFit="1" customWidth="1"/>
    <col min="4" max="4" width="9.3984375" bestFit="1" customWidth="1"/>
    <col min="5" max="5" width="9.73046875" bestFit="1" customWidth="1"/>
    <col min="6" max="6" width="12.33203125" bestFit="1" customWidth="1"/>
    <col min="7" max="7" width="13.3984375" bestFit="1" customWidth="1"/>
    <col min="8" max="8" width="11.3984375" bestFit="1" customWidth="1"/>
    <col min="9" max="9" width="15.1328125" bestFit="1" customWidth="1"/>
  </cols>
  <sheetData>
    <row r="1" spans="1:9" s="2" customForma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290</v>
      </c>
      <c r="G1" s="2" t="s">
        <v>291</v>
      </c>
      <c r="H1" s="2" t="s">
        <v>288</v>
      </c>
      <c r="I1" s="2" t="s">
        <v>289</v>
      </c>
    </row>
    <row r="2" spans="1:9" x14ac:dyDescent="0.45">
      <c r="A2" s="1">
        <v>46174</v>
      </c>
      <c r="B2" t="s">
        <v>258</v>
      </c>
      <c r="C2" t="s">
        <v>259</v>
      </c>
      <c r="D2" t="s">
        <v>5</v>
      </c>
      <c r="E2">
        <v>-8067.99</v>
      </c>
      <c r="F2">
        <f>COUNTIF(INDEX(Table1[DocNo],1):Table1[[#This Row],[DocNo]],Table1[[#This Row],[DocNo]])</f>
        <v>1</v>
      </c>
      <c r="G2" s="3">
        <f>IFERROR(INDEX(Table2[Amount],MATCH(Table1[[#This Row],[DocNo]],Table2[Reference],0)),0)</f>
        <v>-8067.99</v>
      </c>
      <c r="H2" s="3">
        <f>IF(COUNTIFS(Table2[Reference],Table1[[#This Row],[DocNo]])=0,0,ROUND(Table1[[#This Row],[Bank Amount]]-Table1[[#This Row],[Amount]],2))</f>
        <v>0</v>
      </c>
      <c r="I2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3" spans="1:9" x14ac:dyDescent="0.45">
      <c r="A3" s="1">
        <v>46174</v>
      </c>
      <c r="B3" t="s">
        <v>258</v>
      </c>
      <c r="C3" t="s">
        <v>260</v>
      </c>
      <c r="D3" t="s">
        <v>6</v>
      </c>
      <c r="E3">
        <v>-10230.18</v>
      </c>
      <c r="F3">
        <f>COUNTIF(INDEX(Table1[DocNo],1):Table1[[#This Row],[DocNo]],Table1[[#This Row],[DocNo]])</f>
        <v>1</v>
      </c>
      <c r="G3" s="3">
        <f>IFERROR(INDEX(Table2[Amount],MATCH(Table1[[#This Row],[DocNo]],Table2[Reference],0)),0)</f>
        <v>-10230.18</v>
      </c>
      <c r="H3" s="3">
        <f>IF(COUNTIFS(Table2[Reference],Table1[[#This Row],[DocNo]])=0,0,ROUND(Table1[[#This Row],[Bank Amount]]-Table1[[#This Row],[Amount]],2))</f>
        <v>0</v>
      </c>
      <c r="I3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4" spans="1:9" x14ac:dyDescent="0.45">
      <c r="A4" s="1">
        <v>46174</v>
      </c>
      <c r="B4" t="s">
        <v>258</v>
      </c>
      <c r="C4" t="s">
        <v>260</v>
      </c>
      <c r="D4" t="s">
        <v>6</v>
      </c>
      <c r="E4">
        <v>-10230.18</v>
      </c>
      <c r="F4">
        <f>COUNTIF(INDEX(Table1[DocNo],1):Table1[[#This Row],[DocNo]],Table1[[#This Row],[DocNo]])</f>
        <v>2</v>
      </c>
      <c r="G4" s="3">
        <f>IFERROR(INDEX(Table2[Amount],MATCH(Table1[[#This Row],[DocNo]],Table2[Reference],0)),0)</f>
        <v>-10230.18</v>
      </c>
      <c r="H4" s="3">
        <f>IF(COUNTIFS(Table2[Reference],Table1[[#This Row],[DocNo]])=0,0,ROUND(Table1[[#This Row],[Bank Amount]]-Table1[[#This Row],[Amount]],2))</f>
        <v>0</v>
      </c>
      <c r="I4" t="str">
        <f>IF(Table1[[#This Row],[Occurrence]]&gt;1,"Duplicate",IF(COUNTIFS(Table2[Reference],Table1[[#This Row],[DocNo]])=0,"GL only",IF(Table1[[#This Row],[Difference]]&lt;&gt;0,"Amount difference","Matched")))</f>
        <v>Duplicate</v>
      </c>
    </row>
    <row r="5" spans="1:9" x14ac:dyDescent="0.45">
      <c r="A5" s="1">
        <v>46174</v>
      </c>
      <c r="B5" t="s">
        <v>258</v>
      </c>
      <c r="C5" t="s">
        <v>261</v>
      </c>
      <c r="D5" t="s">
        <v>7</v>
      </c>
      <c r="E5">
        <v>88790.68</v>
      </c>
      <c r="F5">
        <f>COUNTIF(INDEX(Table1[DocNo],1):Table1[[#This Row],[DocNo]],Table1[[#This Row],[DocNo]])</f>
        <v>1</v>
      </c>
      <c r="G5" s="3">
        <f>IFERROR(INDEX(Table2[Amount],MATCH(Table1[[#This Row],[DocNo]],Table2[Reference],0)),0)</f>
        <v>88790.68</v>
      </c>
      <c r="H5" s="3">
        <f>IF(COUNTIFS(Table2[Reference],Table1[[#This Row],[DocNo]])=0,0,ROUND(Table1[[#This Row],[Bank Amount]]-Table1[[#This Row],[Amount]],2))</f>
        <v>0</v>
      </c>
      <c r="I5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6" spans="1:9" x14ac:dyDescent="0.45">
      <c r="A6" s="1">
        <v>46174</v>
      </c>
      <c r="B6" t="s">
        <v>258</v>
      </c>
      <c r="C6" t="s">
        <v>262</v>
      </c>
      <c r="D6" t="s">
        <v>8</v>
      </c>
      <c r="E6">
        <v>-12217.56</v>
      </c>
      <c r="F6">
        <f>COUNTIF(INDEX(Table1[DocNo],1):Table1[[#This Row],[DocNo]],Table1[[#This Row],[DocNo]])</f>
        <v>1</v>
      </c>
      <c r="G6" s="3">
        <f>IFERROR(INDEX(Table2[Amount],MATCH(Table1[[#This Row],[DocNo]],Table2[Reference],0)),0)</f>
        <v>-12217.56</v>
      </c>
      <c r="H6" s="3">
        <f>IF(COUNTIFS(Table2[Reference],Table1[[#This Row],[DocNo]])=0,0,ROUND(Table1[[#This Row],[Bank Amount]]-Table1[[#This Row],[Amount]],2))</f>
        <v>0</v>
      </c>
      <c r="I6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7" spans="1:9" x14ac:dyDescent="0.45">
      <c r="A7" s="1">
        <v>46175</v>
      </c>
      <c r="B7" t="s">
        <v>258</v>
      </c>
      <c r="C7" t="s">
        <v>263</v>
      </c>
      <c r="D7" t="s">
        <v>9</v>
      </c>
      <c r="E7">
        <v>-5365.64</v>
      </c>
      <c r="F7">
        <f>COUNTIF(INDEX(Table1[DocNo],1):Table1[[#This Row],[DocNo]],Table1[[#This Row],[DocNo]])</f>
        <v>1</v>
      </c>
      <c r="G7" s="3">
        <f>IFERROR(INDEX(Table2[Amount],MATCH(Table1[[#This Row],[DocNo]],Table2[Reference],0)),0)</f>
        <v>-5365.64</v>
      </c>
      <c r="H7" s="3">
        <f>IF(COUNTIFS(Table2[Reference],Table1[[#This Row],[DocNo]])=0,0,ROUND(Table1[[#This Row],[Bank Amount]]-Table1[[#This Row],[Amount]],2))</f>
        <v>0</v>
      </c>
      <c r="I7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8" spans="1:9" x14ac:dyDescent="0.45">
      <c r="A8" s="1">
        <v>46175</v>
      </c>
      <c r="B8" t="s">
        <v>258</v>
      </c>
      <c r="C8" t="s">
        <v>264</v>
      </c>
      <c r="D8" t="s">
        <v>10</v>
      </c>
      <c r="E8">
        <v>-17040.77</v>
      </c>
      <c r="F8">
        <f>COUNTIF(INDEX(Table1[DocNo],1):Table1[[#This Row],[DocNo]],Table1[[#This Row],[DocNo]])</f>
        <v>1</v>
      </c>
      <c r="G8" s="3">
        <f>IFERROR(INDEX(Table2[Amount],MATCH(Table1[[#This Row],[DocNo]],Table2[Reference],0)),0)</f>
        <v>-17040.77</v>
      </c>
      <c r="H8" s="3">
        <f>IF(COUNTIFS(Table2[Reference],Table1[[#This Row],[DocNo]])=0,0,ROUND(Table1[[#This Row],[Bank Amount]]-Table1[[#This Row],[Amount]],2))</f>
        <v>0</v>
      </c>
      <c r="I8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9" spans="1:9" x14ac:dyDescent="0.45">
      <c r="A9" s="1">
        <v>46175</v>
      </c>
      <c r="B9" t="s">
        <v>258</v>
      </c>
      <c r="C9" t="s">
        <v>265</v>
      </c>
      <c r="D9" t="s">
        <v>11</v>
      </c>
      <c r="E9">
        <v>88411.47</v>
      </c>
      <c r="F9">
        <f>COUNTIF(INDEX(Table1[DocNo],1):Table1[[#This Row],[DocNo]],Table1[[#This Row],[DocNo]])</f>
        <v>1</v>
      </c>
      <c r="G9" s="3">
        <f>IFERROR(INDEX(Table2[Amount],MATCH(Table1[[#This Row],[DocNo]],Table2[Reference],0)),0)</f>
        <v>88411.47</v>
      </c>
      <c r="H9" s="3">
        <f>IF(COUNTIFS(Table2[Reference],Table1[[#This Row],[DocNo]])=0,0,ROUND(Table1[[#This Row],[Bank Amount]]-Table1[[#This Row],[Amount]],2))</f>
        <v>0</v>
      </c>
      <c r="I9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10" spans="1:9" x14ac:dyDescent="0.45">
      <c r="A10" s="1">
        <v>46176</v>
      </c>
      <c r="B10" t="s">
        <v>258</v>
      </c>
      <c r="C10" t="s">
        <v>266</v>
      </c>
      <c r="D10" t="s">
        <v>12</v>
      </c>
      <c r="E10">
        <v>-12316.92</v>
      </c>
      <c r="F10">
        <f>COUNTIF(INDEX(Table1[DocNo],1):Table1[[#This Row],[DocNo]],Table1[[#This Row],[DocNo]])</f>
        <v>1</v>
      </c>
      <c r="G10" s="3">
        <f>IFERROR(INDEX(Table2[Amount],MATCH(Table1[[#This Row],[DocNo]],Table2[Reference],0)),0)</f>
        <v>-12316.92</v>
      </c>
      <c r="H10" s="3">
        <f>IF(COUNTIFS(Table2[Reference],Table1[[#This Row],[DocNo]])=0,0,ROUND(Table1[[#This Row],[Bank Amount]]-Table1[[#This Row],[Amount]],2))</f>
        <v>0</v>
      </c>
      <c r="I10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11" spans="1:9" x14ac:dyDescent="0.45">
      <c r="A11" s="1">
        <v>46176</v>
      </c>
      <c r="B11" t="s">
        <v>258</v>
      </c>
      <c r="C11" t="s">
        <v>259</v>
      </c>
      <c r="D11" t="s">
        <v>13</v>
      </c>
      <c r="E11">
        <v>-20094.18</v>
      </c>
      <c r="F11">
        <f>COUNTIF(INDEX(Table1[DocNo],1):Table1[[#This Row],[DocNo]],Table1[[#This Row],[DocNo]])</f>
        <v>1</v>
      </c>
      <c r="G11" s="3">
        <f>IFERROR(INDEX(Table2[Amount],MATCH(Table1[[#This Row],[DocNo]],Table2[Reference],0)),0)</f>
        <v>-20094.18</v>
      </c>
      <c r="H11" s="3">
        <f>IF(COUNTIFS(Table2[Reference],Table1[[#This Row],[DocNo]])=0,0,ROUND(Table1[[#This Row],[Bank Amount]]-Table1[[#This Row],[Amount]],2))</f>
        <v>0</v>
      </c>
      <c r="I11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12" spans="1:9" x14ac:dyDescent="0.45">
      <c r="A12" s="1">
        <v>46176</v>
      </c>
      <c r="B12" t="s">
        <v>258</v>
      </c>
      <c r="C12" t="s">
        <v>261</v>
      </c>
      <c r="D12" t="s">
        <v>14</v>
      </c>
      <c r="E12">
        <v>102367.19</v>
      </c>
      <c r="F12">
        <f>COUNTIF(INDEX(Table1[DocNo],1):Table1[[#This Row],[DocNo]],Table1[[#This Row],[DocNo]])</f>
        <v>1</v>
      </c>
      <c r="G12" s="3">
        <f>IFERROR(INDEX(Table2[Amount],MATCH(Table1[[#This Row],[DocNo]],Table2[Reference],0)),0)</f>
        <v>102367.19</v>
      </c>
      <c r="H12" s="3">
        <f>IF(COUNTIFS(Table2[Reference],Table1[[#This Row],[DocNo]])=0,0,ROUND(Table1[[#This Row],[Bank Amount]]-Table1[[#This Row],[Amount]],2))</f>
        <v>0</v>
      </c>
      <c r="I12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13" spans="1:9" x14ac:dyDescent="0.45">
      <c r="A13" s="1">
        <v>46176</v>
      </c>
      <c r="B13" t="s">
        <v>258</v>
      </c>
      <c r="C13" t="s">
        <v>262</v>
      </c>
      <c r="D13" t="s">
        <v>15</v>
      </c>
      <c r="E13">
        <v>-21094.19</v>
      </c>
      <c r="F13">
        <f>COUNTIF(INDEX(Table1[DocNo],1):Table1[[#This Row],[DocNo]],Table1[[#This Row],[DocNo]])</f>
        <v>1</v>
      </c>
      <c r="G13" s="3">
        <f>IFERROR(INDEX(Table2[Amount],MATCH(Table1[[#This Row],[DocNo]],Table2[Reference],0)),0)</f>
        <v>-21094.19</v>
      </c>
      <c r="H13" s="3">
        <f>IF(COUNTIFS(Table2[Reference],Table1[[#This Row],[DocNo]])=0,0,ROUND(Table1[[#This Row],[Bank Amount]]-Table1[[#This Row],[Amount]],2))</f>
        <v>0</v>
      </c>
      <c r="I13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14" spans="1:9" x14ac:dyDescent="0.45">
      <c r="A14" s="1">
        <v>46177</v>
      </c>
      <c r="B14" t="s">
        <v>258</v>
      </c>
      <c r="C14" t="s">
        <v>267</v>
      </c>
      <c r="D14" t="s">
        <v>16</v>
      </c>
      <c r="E14">
        <v>-4183.67</v>
      </c>
      <c r="F14">
        <f>COUNTIF(INDEX(Table1[DocNo],1):Table1[[#This Row],[DocNo]],Table1[[#This Row],[DocNo]])</f>
        <v>1</v>
      </c>
      <c r="G14" s="3">
        <f>IFERROR(INDEX(Table2[Amount],MATCH(Table1[[#This Row],[DocNo]],Table2[Reference],0)),0)</f>
        <v>-4183.58</v>
      </c>
      <c r="H14" s="3">
        <f>IF(COUNTIFS(Table2[Reference],Table1[[#This Row],[DocNo]])=0,0,ROUND(Table1[[#This Row],[Bank Amount]]-Table1[[#This Row],[Amount]],2))</f>
        <v>0.09</v>
      </c>
      <c r="I14" t="str">
        <f>IF(Table1[[#This Row],[Occurrence]]&gt;1,"Duplicate",IF(COUNTIFS(Table2[Reference],Table1[[#This Row],[DocNo]])=0,"GL only",IF(Table1[[#This Row],[Difference]]&lt;&gt;0,"Amount difference","Matched")))</f>
        <v>Amount difference</v>
      </c>
    </row>
    <row r="15" spans="1:9" x14ac:dyDescent="0.45">
      <c r="A15" s="1">
        <v>46177</v>
      </c>
      <c r="B15" t="s">
        <v>258</v>
      </c>
      <c r="C15" t="s">
        <v>266</v>
      </c>
      <c r="D15" t="s">
        <v>17</v>
      </c>
      <c r="E15">
        <v>-6479.58</v>
      </c>
      <c r="F15">
        <f>COUNTIF(INDEX(Table1[DocNo],1):Table1[[#This Row],[DocNo]],Table1[[#This Row],[DocNo]])</f>
        <v>1</v>
      </c>
      <c r="G15" s="3">
        <f>IFERROR(INDEX(Table2[Amount],MATCH(Table1[[#This Row],[DocNo]],Table2[Reference],0)),0)</f>
        <v>-6479.58</v>
      </c>
      <c r="H15" s="3">
        <f>IF(COUNTIFS(Table2[Reference],Table1[[#This Row],[DocNo]])=0,0,ROUND(Table1[[#This Row],[Bank Amount]]-Table1[[#This Row],[Amount]],2))</f>
        <v>0</v>
      </c>
      <c r="I15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16" spans="1:9" x14ac:dyDescent="0.45">
      <c r="A16" s="1">
        <v>46177</v>
      </c>
      <c r="B16" t="s">
        <v>258</v>
      </c>
      <c r="C16" t="s">
        <v>262</v>
      </c>
      <c r="D16" t="s">
        <v>18</v>
      </c>
      <c r="E16">
        <v>-3503.79</v>
      </c>
      <c r="F16">
        <f>COUNTIF(INDEX(Table1[DocNo],1):Table1[[#This Row],[DocNo]],Table1[[#This Row],[DocNo]])</f>
        <v>1</v>
      </c>
      <c r="G16" s="3">
        <f>IFERROR(INDEX(Table2[Amount],MATCH(Table1[[#This Row],[DocNo]],Table2[Reference],0)),0)</f>
        <v>-3503.79</v>
      </c>
      <c r="H16" s="3">
        <f>IF(COUNTIFS(Table2[Reference],Table1[[#This Row],[DocNo]])=0,0,ROUND(Table1[[#This Row],[Bank Amount]]-Table1[[#This Row],[Amount]],2))</f>
        <v>0</v>
      </c>
      <c r="I16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17" spans="1:9" x14ac:dyDescent="0.45">
      <c r="A17" s="1">
        <v>46177</v>
      </c>
      <c r="B17" t="s">
        <v>258</v>
      </c>
      <c r="C17" t="s">
        <v>268</v>
      </c>
      <c r="D17" t="s">
        <v>19</v>
      </c>
      <c r="E17">
        <v>-12272.98</v>
      </c>
      <c r="F17">
        <f>COUNTIF(INDEX(Table1[DocNo],1):Table1[[#This Row],[DocNo]],Table1[[#This Row],[DocNo]])</f>
        <v>1</v>
      </c>
      <c r="G17" s="3">
        <f>IFERROR(INDEX(Table2[Amount],MATCH(Table1[[#This Row],[DocNo]],Table2[Reference],0)),0)</f>
        <v>-12272.98</v>
      </c>
      <c r="H17" s="3">
        <f>IF(COUNTIFS(Table2[Reference],Table1[[#This Row],[DocNo]])=0,0,ROUND(Table1[[#This Row],[Bank Amount]]-Table1[[#This Row],[Amount]],2))</f>
        <v>0</v>
      </c>
      <c r="I17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18" spans="1:9" x14ac:dyDescent="0.45">
      <c r="A18" s="1">
        <v>46178</v>
      </c>
      <c r="B18" t="s">
        <v>258</v>
      </c>
      <c r="C18" t="s">
        <v>267</v>
      </c>
      <c r="D18" t="s">
        <v>20</v>
      </c>
      <c r="E18">
        <v>-16110.81</v>
      </c>
      <c r="F18">
        <f>COUNTIF(INDEX(Table1[DocNo],1):Table1[[#This Row],[DocNo]],Table1[[#This Row],[DocNo]])</f>
        <v>1</v>
      </c>
      <c r="G18" s="3">
        <f>IFERROR(INDEX(Table2[Amount],MATCH(Table1[[#This Row],[DocNo]],Table2[Reference],0)),0)</f>
        <v>-16110.81</v>
      </c>
      <c r="H18" s="3">
        <f>IF(COUNTIFS(Table2[Reference],Table1[[#This Row],[DocNo]])=0,0,ROUND(Table1[[#This Row],[Bank Amount]]-Table1[[#This Row],[Amount]],2))</f>
        <v>0</v>
      </c>
      <c r="I18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19" spans="1:9" x14ac:dyDescent="0.45">
      <c r="A19" s="1">
        <v>46178</v>
      </c>
      <c r="B19" t="s">
        <v>258</v>
      </c>
      <c r="C19" t="s">
        <v>269</v>
      </c>
      <c r="D19" t="s">
        <v>21</v>
      </c>
      <c r="E19">
        <v>77425.86</v>
      </c>
      <c r="F19">
        <f>COUNTIF(INDEX(Table1[DocNo],1):Table1[[#This Row],[DocNo]],Table1[[#This Row],[DocNo]])</f>
        <v>1</v>
      </c>
      <c r="G19" s="3">
        <f>IFERROR(INDEX(Table2[Amount],MATCH(Table1[[#This Row],[DocNo]],Table2[Reference],0)),0)</f>
        <v>77425.86</v>
      </c>
      <c r="H19" s="3">
        <f>IF(COUNTIFS(Table2[Reference],Table1[[#This Row],[DocNo]])=0,0,ROUND(Table1[[#This Row],[Bank Amount]]-Table1[[#This Row],[Amount]],2))</f>
        <v>0</v>
      </c>
      <c r="I19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20" spans="1:9" x14ac:dyDescent="0.45">
      <c r="A20" s="1">
        <v>46178</v>
      </c>
      <c r="B20" t="s">
        <v>258</v>
      </c>
      <c r="C20" t="s">
        <v>270</v>
      </c>
      <c r="D20" t="s">
        <v>22</v>
      </c>
      <c r="E20">
        <v>-14685.67</v>
      </c>
      <c r="F20">
        <f>COUNTIF(INDEX(Table1[DocNo],1):Table1[[#This Row],[DocNo]],Table1[[#This Row],[DocNo]])</f>
        <v>1</v>
      </c>
      <c r="G20" s="3">
        <f>IFERROR(INDEX(Table2[Amount],MATCH(Table1[[#This Row],[DocNo]],Table2[Reference],0)),0)</f>
        <v>-14685.67</v>
      </c>
      <c r="H20" s="3">
        <f>IF(COUNTIFS(Table2[Reference],Table1[[#This Row],[DocNo]])=0,0,ROUND(Table1[[#This Row],[Bank Amount]]-Table1[[#This Row],[Amount]],2))</f>
        <v>0</v>
      </c>
      <c r="I20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21" spans="1:9" x14ac:dyDescent="0.45">
      <c r="A21" s="1">
        <v>46178</v>
      </c>
      <c r="B21" t="s">
        <v>258</v>
      </c>
      <c r="C21" t="s">
        <v>262</v>
      </c>
      <c r="D21" t="s">
        <v>23</v>
      </c>
      <c r="E21">
        <v>-6506.94</v>
      </c>
      <c r="F21">
        <f>COUNTIF(INDEX(Table1[DocNo],1):Table1[[#This Row],[DocNo]],Table1[[#This Row],[DocNo]])</f>
        <v>1</v>
      </c>
      <c r="G21" s="3">
        <f>IFERROR(INDEX(Table2[Amount],MATCH(Table1[[#This Row],[DocNo]],Table2[Reference],0)),0)</f>
        <v>-6506.94</v>
      </c>
      <c r="H21" s="3">
        <f>IF(COUNTIFS(Table2[Reference],Table1[[#This Row],[DocNo]])=0,0,ROUND(Table1[[#This Row],[Bank Amount]]-Table1[[#This Row],[Amount]],2))</f>
        <v>0</v>
      </c>
      <c r="I21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22" spans="1:9" x14ac:dyDescent="0.45">
      <c r="A22" s="1">
        <v>46181</v>
      </c>
      <c r="B22" t="s">
        <v>258</v>
      </c>
      <c r="C22" t="s">
        <v>267</v>
      </c>
      <c r="D22" t="s">
        <v>24</v>
      </c>
      <c r="E22">
        <v>-14193.51</v>
      </c>
      <c r="F22">
        <f>COUNTIF(INDEX(Table1[DocNo],1):Table1[[#This Row],[DocNo]],Table1[[#This Row],[DocNo]])</f>
        <v>1</v>
      </c>
      <c r="G22" s="3">
        <f>IFERROR(INDEX(Table2[Amount],MATCH(Table1[[#This Row],[DocNo]],Table2[Reference],0)),0)</f>
        <v>-14193.51</v>
      </c>
      <c r="H22" s="3">
        <f>IF(COUNTIFS(Table2[Reference],Table1[[#This Row],[DocNo]])=0,0,ROUND(Table1[[#This Row],[Bank Amount]]-Table1[[#This Row],[Amount]],2))</f>
        <v>0</v>
      </c>
      <c r="I22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23" spans="1:9" x14ac:dyDescent="0.45">
      <c r="A23" s="1">
        <v>46181</v>
      </c>
      <c r="B23" t="s">
        <v>258</v>
      </c>
      <c r="C23" t="s">
        <v>269</v>
      </c>
      <c r="D23" t="s">
        <v>25</v>
      </c>
      <c r="E23">
        <v>109123.56</v>
      </c>
      <c r="F23">
        <f>COUNTIF(INDEX(Table1[DocNo],1):Table1[[#This Row],[DocNo]],Table1[[#This Row],[DocNo]])</f>
        <v>1</v>
      </c>
      <c r="G23" s="3">
        <f>IFERROR(INDEX(Table2[Amount],MATCH(Table1[[#This Row],[DocNo]],Table2[Reference],0)),0)</f>
        <v>109123.56</v>
      </c>
      <c r="H23" s="3">
        <f>IF(COUNTIFS(Table2[Reference],Table1[[#This Row],[DocNo]])=0,0,ROUND(Table1[[#This Row],[Bank Amount]]-Table1[[#This Row],[Amount]],2))</f>
        <v>0</v>
      </c>
      <c r="I23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24" spans="1:9" x14ac:dyDescent="0.45">
      <c r="A24" s="1">
        <v>46181</v>
      </c>
      <c r="B24" t="s">
        <v>258</v>
      </c>
      <c r="C24" t="s">
        <v>269</v>
      </c>
      <c r="D24" t="s">
        <v>26</v>
      </c>
      <c r="E24">
        <v>104277.78</v>
      </c>
      <c r="F24">
        <f>COUNTIF(INDEX(Table1[DocNo],1):Table1[[#This Row],[DocNo]],Table1[[#This Row],[DocNo]])</f>
        <v>1</v>
      </c>
      <c r="G24" s="3">
        <f>IFERROR(INDEX(Table2[Amount],MATCH(Table1[[#This Row],[DocNo]],Table2[Reference],0)),0)</f>
        <v>104277.78</v>
      </c>
      <c r="H24" s="3">
        <f>IF(COUNTIFS(Table2[Reference],Table1[[#This Row],[DocNo]])=0,0,ROUND(Table1[[#This Row],[Bank Amount]]-Table1[[#This Row],[Amount]],2))</f>
        <v>0</v>
      </c>
      <c r="I24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25" spans="1:9" x14ac:dyDescent="0.45">
      <c r="A25" s="1">
        <v>46181</v>
      </c>
      <c r="B25" t="s">
        <v>258</v>
      </c>
      <c r="C25" t="s">
        <v>271</v>
      </c>
      <c r="D25" t="s">
        <v>27</v>
      </c>
      <c r="E25">
        <v>-19414.580000000002</v>
      </c>
      <c r="F25">
        <f>COUNTIF(INDEX(Table1[DocNo],1):Table1[[#This Row],[DocNo]],Table1[[#This Row],[DocNo]])</f>
        <v>1</v>
      </c>
      <c r="G25" s="3">
        <f>IFERROR(INDEX(Table2[Amount],MATCH(Table1[[#This Row],[DocNo]],Table2[Reference],0)),0)</f>
        <v>-19414.580000000002</v>
      </c>
      <c r="H25" s="3">
        <f>IF(COUNTIFS(Table2[Reference],Table1[[#This Row],[DocNo]])=0,0,ROUND(Table1[[#This Row],[Bank Amount]]-Table1[[#This Row],[Amount]],2))</f>
        <v>0</v>
      </c>
      <c r="I25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26" spans="1:9" x14ac:dyDescent="0.45">
      <c r="A26" s="1">
        <v>46181</v>
      </c>
      <c r="B26" t="s">
        <v>258</v>
      </c>
      <c r="C26" t="s">
        <v>263</v>
      </c>
      <c r="D26" t="s">
        <v>28</v>
      </c>
      <c r="E26">
        <v>-23647.98</v>
      </c>
      <c r="F26">
        <f>COUNTIF(INDEX(Table1[DocNo],1):Table1[[#This Row],[DocNo]],Table1[[#This Row],[DocNo]])</f>
        <v>1</v>
      </c>
      <c r="G26" s="3">
        <f>IFERROR(INDEX(Table2[Amount],MATCH(Table1[[#This Row],[DocNo]],Table2[Reference],0)),0)</f>
        <v>-23647.98</v>
      </c>
      <c r="H26" s="3">
        <f>IF(COUNTIFS(Table2[Reference],Table1[[#This Row],[DocNo]])=0,0,ROUND(Table1[[#This Row],[Bank Amount]]-Table1[[#This Row],[Amount]],2))</f>
        <v>0</v>
      </c>
      <c r="I26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27" spans="1:9" x14ac:dyDescent="0.45">
      <c r="A27" s="1">
        <v>46181</v>
      </c>
      <c r="B27" t="s">
        <v>258</v>
      </c>
      <c r="C27" t="s">
        <v>263</v>
      </c>
      <c r="D27" t="s">
        <v>29</v>
      </c>
      <c r="E27">
        <v>-13386.11</v>
      </c>
      <c r="F27">
        <f>COUNTIF(INDEX(Table1[DocNo],1):Table1[[#This Row],[DocNo]],Table1[[#This Row],[DocNo]])</f>
        <v>1</v>
      </c>
      <c r="G27" s="3">
        <f>IFERROR(INDEX(Table2[Amount],MATCH(Table1[[#This Row],[DocNo]],Table2[Reference],0)),0)</f>
        <v>-13386.11</v>
      </c>
      <c r="H27" s="3">
        <f>IF(COUNTIFS(Table2[Reference],Table1[[#This Row],[DocNo]])=0,0,ROUND(Table1[[#This Row],[Bank Amount]]-Table1[[#This Row],[Amount]],2))</f>
        <v>0</v>
      </c>
      <c r="I27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28" spans="1:9" x14ac:dyDescent="0.45">
      <c r="A28" s="1">
        <v>46181</v>
      </c>
      <c r="B28" t="s">
        <v>258</v>
      </c>
      <c r="C28" t="s">
        <v>270</v>
      </c>
      <c r="D28" t="s">
        <v>30</v>
      </c>
      <c r="E28">
        <v>-2088.2600000000002</v>
      </c>
      <c r="F28">
        <f>COUNTIF(INDEX(Table1[DocNo],1):Table1[[#This Row],[DocNo]],Table1[[#This Row],[DocNo]])</f>
        <v>1</v>
      </c>
      <c r="G28" s="3">
        <f>IFERROR(INDEX(Table2[Amount],MATCH(Table1[[#This Row],[DocNo]],Table2[Reference],0)),0)</f>
        <v>-2088.2600000000002</v>
      </c>
      <c r="H28" s="3">
        <f>IF(COUNTIFS(Table2[Reference],Table1[[#This Row],[DocNo]])=0,0,ROUND(Table1[[#This Row],[Bank Amount]]-Table1[[#This Row],[Amount]],2))</f>
        <v>0</v>
      </c>
      <c r="I28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29" spans="1:9" x14ac:dyDescent="0.45">
      <c r="A29" s="1">
        <v>46181</v>
      </c>
      <c r="B29" t="s">
        <v>258</v>
      </c>
      <c r="C29" t="s">
        <v>272</v>
      </c>
      <c r="D29" t="s">
        <v>31</v>
      </c>
      <c r="E29">
        <v>-5184.0200000000004</v>
      </c>
      <c r="F29">
        <f>COUNTIF(INDEX(Table1[DocNo],1):Table1[[#This Row],[DocNo]],Table1[[#This Row],[DocNo]])</f>
        <v>1</v>
      </c>
      <c r="G29" s="3">
        <f>IFERROR(INDEX(Table2[Amount],MATCH(Table1[[#This Row],[DocNo]],Table2[Reference],0)),0)</f>
        <v>-5184.0200000000004</v>
      </c>
      <c r="H29" s="3">
        <f>IF(COUNTIFS(Table2[Reference],Table1[[#This Row],[DocNo]])=0,0,ROUND(Table1[[#This Row],[Bank Amount]]-Table1[[#This Row],[Amount]],2))</f>
        <v>0</v>
      </c>
      <c r="I29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30" spans="1:9" x14ac:dyDescent="0.45">
      <c r="A30" s="1">
        <v>46181</v>
      </c>
      <c r="B30" t="s">
        <v>258</v>
      </c>
      <c r="C30" t="s">
        <v>273</v>
      </c>
      <c r="D30" t="s">
        <v>32</v>
      </c>
      <c r="E30">
        <v>-6891.43</v>
      </c>
      <c r="F30">
        <f>COUNTIF(INDEX(Table1[DocNo],1):Table1[[#This Row],[DocNo]],Table1[[#This Row],[DocNo]])</f>
        <v>1</v>
      </c>
      <c r="G30" s="3">
        <f>IFERROR(INDEX(Table2[Amount],MATCH(Table1[[#This Row],[DocNo]],Table2[Reference],0)),0)</f>
        <v>-6891.43</v>
      </c>
      <c r="H30" s="3">
        <f>IF(COUNTIFS(Table2[Reference],Table1[[#This Row],[DocNo]])=0,0,ROUND(Table1[[#This Row],[Bank Amount]]-Table1[[#This Row],[Amount]],2))</f>
        <v>0</v>
      </c>
      <c r="I30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31" spans="1:9" x14ac:dyDescent="0.45">
      <c r="A31" s="1">
        <v>46181</v>
      </c>
      <c r="B31" t="s">
        <v>258</v>
      </c>
      <c r="C31" t="s">
        <v>274</v>
      </c>
      <c r="D31" t="s">
        <v>33</v>
      </c>
      <c r="E31">
        <v>-20631.689999999999</v>
      </c>
      <c r="F31">
        <f>COUNTIF(INDEX(Table1[DocNo],1):Table1[[#This Row],[DocNo]],Table1[[#This Row],[DocNo]])</f>
        <v>1</v>
      </c>
      <c r="G31" s="3">
        <f>IFERROR(INDEX(Table2[Amount],MATCH(Table1[[#This Row],[DocNo]],Table2[Reference],0)),0)</f>
        <v>-20631.689999999999</v>
      </c>
      <c r="H31" s="3">
        <f>IF(COUNTIFS(Table2[Reference],Table1[[#This Row],[DocNo]])=0,0,ROUND(Table1[[#This Row],[Bank Amount]]-Table1[[#This Row],[Amount]],2))</f>
        <v>0</v>
      </c>
      <c r="I31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32" spans="1:9" x14ac:dyDescent="0.45">
      <c r="A32" s="1">
        <v>46181</v>
      </c>
      <c r="B32" t="s">
        <v>258</v>
      </c>
      <c r="C32" t="s">
        <v>262</v>
      </c>
      <c r="D32" t="s">
        <v>34</v>
      </c>
      <c r="E32">
        <v>-14595.51</v>
      </c>
      <c r="F32">
        <f>COUNTIF(INDEX(Table1[DocNo],1):Table1[[#This Row],[DocNo]],Table1[[#This Row],[DocNo]])</f>
        <v>1</v>
      </c>
      <c r="G32" s="3">
        <f>IFERROR(INDEX(Table2[Amount],MATCH(Table1[[#This Row],[DocNo]],Table2[Reference],0)),0)</f>
        <v>-14595.51</v>
      </c>
      <c r="H32" s="3">
        <f>IF(COUNTIFS(Table2[Reference],Table1[[#This Row],[DocNo]])=0,0,ROUND(Table1[[#This Row],[Bank Amount]]-Table1[[#This Row],[Amount]],2))</f>
        <v>0</v>
      </c>
      <c r="I32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33" spans="1:9" x14ac:dyDescent="0.45">
      <c r="A33" s="1">
        <v>46181</v>
      </c>
      <c r="B33" t="s">
        <v>258</v>
      </c>
      <c r="C33" t="s">
        <v>275</v>
      </c>
      <c r="D33" t="s">
        <v>35</v>
      </c>
      <c r="E33">
        <v>-21676.19</v>
      </c>
      <c r="F33">
        <f>COUNTIF(INDEX(Table1[DocNo],1):Table1[[#This Row],[DocNo]],Table1[[#This Row],[DocNo]])</f>
        <v>1</v>
      </c>
      <c r="G33" s="3">
        <f>IFERROR(INDEX(Table2[Amount],MATCH(Table1[[#This Row],[DocNo]],Table2[Reference],0)),0)</f>
        <v>-21676.19</v>
      </c>
      <c r="H33" s="3">
        <f>IF(COUNTIFS(Table2[Reference],Table1[[#This Row],[DocNo]])=0,0,ROUND(Table1[[#This Row],[Bank Amount]]-Table1[[#This Row],[Amount]],2))</f>
        <v>0</v>
      </c>
      <c r="I33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34" spans="1:9" x14ac:dyDescent="0.45">
      <c r="A34" s="1">
        <v>46181</v>
      </c>
      <c r="B34" t="s">
        <v>258</v>
      </c>
      <c r="C34" t="s">
        <v>264</v>
      </c>
      <c r="D34" t="s">
        <v>36</v>
      </c>
      <c r="E34">
        <v>-16263.56</v>
      </c>
      <c r="F34">
        <f>COUNTIF(INDEX(Table1[DocNo],1):Table1[[#This Row],[DocNo]],Table1[[#This Row],[DocNo]])</f>
        <v>1</v>
      </c>
      <c r="G34" s="3">
        <f>IFERROR(INDEX(Table2[Amount],MATCH(Table1[[#This Row],[DocNo]],Table2[Reference],0)),0)</f>
        <v>-16263.56</v>
      </c>
      <c r="H34" s="3">
        <f>IF(COUNTIFS(Table2[Reference],Table1[[#This Row],[DocNo]])=0,0,ROUND(Table1[[#This Row],[Bank Amount]]-Table1[[#This Row],[Amount]],2))</f>
        <v>0</v>
      </c>
      <c r="I34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35" spans="1:9" x14ac:dyDescent="0.45">
      <c r="A35" s="1">
        <v>46181</v>
      </c>
      <c r="B35" t="s">
        <v>258</v>
      </c>
      <c r="C35" t="s">
        <v>276</v>
      </c>
      <c r="D35" t="s">
        <v>37</v>
      </c>
      <c r="E35">
        <v>-6102.99</v>
      </c>
      <c r="F35">
        <f>COUNTIF(INDEX(Table1[DocNo],1):Table1[[#This Row],[DocNo]],Table1[[#This Row],[DocNo]])</f>
        <v>1</v>
      </c>
      <c r="G35" s="3">
        <f>IFERROR(INDEX(Table2[Amount],MATCH(Table1[[#This Row],[DocNo]],Table2[Reference],0)),0)</f>
        <v>-6102.99</v>
      </c>
      <c r="H35" s="3">
        <f>IF(COUNTIFS(Table2[Reference],Table1[[#This Row],[DocNo]])=0,0,ROUND(Table1[[#This Row],[Bank Amount]]-Table1[[#This Row],[Amount]],2))</f>
        <v>0</v>
      </c>
      <c r="I35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36" spans="1:9" x14ac:dyDescent="0.45">
      <c r="A36" s="1">
        <v>46181</v>
      </c>
      <c r="B36" t="s">
        <v>258</v>
      </c>
      <c r="C36" t="s">
        <v>277</v>
      </c>
      <c r="D36" t="s">
        <v>38</v>
      </c>
      <c r="E36">
        <v>-3062.32</v>
      </c>
      <c r="F36">
        <f>COUNTIF(INDEX(Table1[DocNo],1):Table1[[#This Row],[DocNo]],Table1[[#This Row],[DocNo]])</f>
        <v>1</v>
      </c>
      <c r="G36" s="3">
        <f>IFERROR(INDEX(Table2[Amount],MATCH(Table1[[#This Row],[DocNo]],Table2[Reference],0)),0)</f>
        <v>-3062.32</v>
      </c>
      <c r="H36" s="3">
        <f>IF(COUNTIFS(Table2[Reference],Table1[[#This Row],[DocNo]])=0,0,ROUND(Table1[[#This Row],[Bank Amount]]-Table1[[#This Row],[Amount]],2))</f>
        <v>0</v>
      </c>
      <c r="I36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37" spans="1:9" x14ac:dyDescent="0.45">
      <c r="A37" s="1">
        <v>46181</v>
      </c>
      <c r="B37" t="s">
        <v>258</v>
      </c>
      <c r="C37" t="s">
        <v>277</v>
      </c>
      <c r="D37" t="s">
        <v>39</v>
      </c>
      <c r="E37">
        <v>-8175.43</v>
      </c>
      <c r="F37">
        <f>COUNTIF(INDEX(Table1[DocNo],1):Table1[[#This Row],[DocNo]],Table1[[#This Row],[DocNo]])</f>
        <v>1</v>
      </c>
      <c r="G37" s="3">
        <f>IFERROR(INDEX(Table2[Amount],MATCH(Table1[[#This Row],[DocNo]],Table2[Reference],0)),0)</f>
        <v>-8175.43</v>
      </c>
      <c r="H37" s="3">
        <f>IF(COUNTIFS(Table2[Reference],Table1[[#This Row],[DocNo]])=0,0,ROUND(Table1[[#This Row],[Bank Amount]]-Table1[[#This Row],[Amount]],2))</f>
        <v>0</v>
      </c>
      <c r="I37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38" spans="1:9" x14ac:dyDescent="0.45">
      <c r="A38" s="1">
        <v>46182</v>
      </c>
      <c r="B38" t="s">
        <v>258</v>
      </c>
      <c r="C38" t="s">
        <v>269</v>
      </c>
      <c r="D38" t="s">
        <v>40</v>
      </c>
      <c r="E38">
        <v>70486.820000000007</v>
      </c>
      <c r="F38">
        <f>COUNTIF(INDEX(Table1[DocNo],1):Table1[[#This Row],[DocNo]],Table1[[#This Row],[DocNo]])</f>
        <v>1</v>
      </c>
      <c r="G38" s="3">
        <f>IFERROR(INDEX(Table2[Amount],MATCH(Table1[[#This Row],[DocNo]],Table2[Reference],0)),0)</f>
        <v>70486.820000000007</v>
      </c>
      <c r="H38" s="3">
        <f>IF(COUNTIFS(Table2[Reference],Table1[[#This Row],[DocNo]])=0,0,ROUND(Table1[[#This Row],[Bank Amount]]-Table1[[#This Row],[Amount]],2))</f>
        <v>0</v>
      </c>
      <c r="I38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39" spans="1:9" x14ac:dyDescent="0.45">
      <c r="A39" s="1">
        <v>46182</v>
      </c>
      <c r="B39" t="s">
        <v>258</v>
      </c>
      <c r="C39" t="s">
        <v>272</v>
      </c>
      <c r="D39" t="s">
        <v>41</v>
      </c>
      <c r="E39">
        <v>-5170.46</v>
      </c>
      <c r="F39">
        <f>COUNTIF(INDEX(Table1[DocNo],1):Table1[[#This Row],[DocNo]],Table1[[#This Row],[DocNo]])</f>
        <v>1</v>
      </c>
      <c r="G39" s="3">
        <f>IFERROR(INDEX(Table2[Amount],MATCH(Table1[[#This Row],[DocNo]],Table2[Reference],0)),0)</f>
        <v>-5170.46</v>
      </c>
      <c r="H39" s="3">
        <f>IF(COUNTIFS(Table2[Reference],Table1[[#This Row],[DocNo]])=0,0,ROUND(Table1[[#This Row],[Bank Amount]]-Table1[[#This Row],[Amount]],2))</f>
        <v>0</v>
      </c>
      <c r="I39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40" spans="1:9" x14ac:dyDescent="0.45">
      <c r="A40" s="1">
        <v>46182</v>
      </c>
      <c r="B40" t="s">
        <v>258</v>
      </c>
      <c r="C40" t="s">
        <v>259</v>
      </c>
      <c r="D40" t="s">
        <v>42</v>
      </c>
      <c r="E40">
        <v>-5257.34</v>
      </c>
      <c r="F40">
        <f>COUNTIF(INDEX(Table1[DocNo],1):Table1[[#This Row],[DocNo]],Table1[[#This Row],[DocNo]])</f>
        <v>1</v>
      </c>
      <c r="G40" s="3">
        <f>IFERROR(INDEX(Table2[Amount],MATCH(Table1[[#This Row],[DocNo]],Table2[Reference],0)),0)</f>
        <v>-5257.34</v>
      </c>
      <c r="H40" s="3">
        <f>IF(COUNTIFS(Table2[Reference],Table1[[#This Row],[DocNo]])=0,0,ROUND(Table1[[#This Row],[Bank Amount]]-Table1[[#This Row],[Amount]],2))</f>
        <v>0</v>
      </c>
      <c r="I40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41" spans="1:9" x14ac:dyDescent="0.45">
      <c r="A41" s="1">
        <v>46182</v>
      </c>
      <c r="B41" t="s">
        <v>258</v>
      </c>
      <c r="C41" t="s">
        <v>273</v>
      </c>
      <c r="D41" t="s">
        <v>43</v>
      </c>
      <c r="E41">
        <v>-4433.49</v>
      </c>
      <c r="F41">
        <f>COUNTIF(INDEX(Table1[DocNo],1):Table1[[#This Row],[DocNo]],Table1[[#This Row],[DocNo]])</f>
        <v>1</v>
      </c>
      <c r="G41" s="3">
        <f>IFERROR(INDEX(Table2[Amount],MATCH(Table1[[#This Row],[DocNo]],Table2[Reference],0)),0)</f>
        <v>-4433.49</v>
      </c>
      <c r="H41" s="3">
        <f>IF(COUNTIFS(Table2[Reference],Table1[[#This Row],[DocNo]])=0,0,ROUND(Table1[[#This Row],[Bank Amount]]-Table1[[#This Row],[Amount]],2))</f>
        <v>0</v>
      </c>
      <c r="I41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42" spans="1:9" x14ac:dyDescent="0.45">
      <c r="A42" s="1">
        <v>46182</v>
      </c>
      <c r="B42" t="s">
        <v>258</v>
      </c>
      <c r="C42" t="s">
        <v>261</v>
      </c>
      <c r="D42" t="s">
        <v>44</v>
      </c>
      <c r="E42">
        <v>27250.97</v>
      </c>
      <c r="F42">
        <f>COUNTIF(INDEX(Table1[DocNo],1):Table1[[#This Row],[DocNo]],Table1[[#This Row],[DocNo]])</f>
        <v>1</v>
      </c>
      <c r="G42" s="3">
        <f>IFERROR(INDEX(Table2[Amount],MATCH(Table1[[#This Row],[DocNo]],Table2[Reference],0)),0)</f>
        <v>27250.97</v>
      </c>
      <c r="H42" s="3">
        <f>IF(COUNTIFS(Table2[Reference],Table1[[#This Row],[DocNo]])=0,0,ROUND(Table1[[#This Row],[Bank Amount]]-Table1[[#This Row],[Amount]],2))</f>
        <v>0</v>
      </c>
      <c r="I42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43" spans="1:9" x14ac:dyDescent="0.45">
      <c r="A43" s="1">
        <v>46182</v>
      </c>
      <c r="B43" t="s">
        <v>258</v>
      </c>
      <c r="C43" t="s">
        <v>262</v>
      </c>
      <c r="D43" t="s">
        <v>45</v>
      </c>
      <c r="E43">
        <v>-10880.16</v>
      </c>
      <c r="F43">
        <f>COUNTIF(INDEX(Table1[DocNo],1):Table1[[#This Row],[DocNo]],Table1[[#This Row],[DocNo]])</f>
        <v>1</v>
      </c>
      <c r="G43" s="3">
        <f>IFERROR(INDEX(Table2[Amount],MATCH(Table1[[#This Row],[DocNo]],Table2[Reference],0)),0)</f>
        <v>-10880.16</v>
      </c>
      <c r="H43" s="3">
        <f>IF(COUNTIFS(Table2[Reference],Table1[[#This Row],[DocNo]])=0,0,ROUND(Table1[[#This Row],[Bank Amount]]-Table1[[#This Row],[Amount]],2))</f>
        <v>0</v>
      </c>
      <c r="I43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44" spans="1:9" x14ac:dyDescent="0.45">
      <c r="A44" s="1">
        <v>46182</v>
      </c>
      <c r="B44" t="s">
        <v>258</v>
      </c>
      <c r="C44" t="s">
        <v>275</v>
      </c>
      <c r="D44" t="s">
        <v>46</v>
      </c>
      <c r="E44">
        <v>-9101.0400000000009</v>
      </c>
      <c r="F44">
        <f>COUNTIF(INDEX(Table1[DocNo],1):Table1[[#This Row],[DocNo]],Table1[[#This Row],[DocNo]])</f>
        <v>1</v>
      </c>
      <c r="G44" s="3">
        <f>IFERROR(INDEX(Table2[Amount],MATCH(Table1[[#This Row],[DocNo]],Table2[Reference],0)),0)</f>
        <v>-9101.0400000000009</v>
      </c>
      <c r="H44" s="3">
        <f>IF(COUNTIFS(Table2[Reference],Table1[[#This Row],[DocNo]])=0,0,ROUND(Table1[[#This Row],[Bank Amount]]-Table1[[#This Row],[Amount]],2))</f>
        <v>0</v>
      </c>
      <c r="I44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45" spans="1:9" x14ac:dyDescent="0.45">
      <c r="A45" s="1">
        <v>46182</v>
      </c>
      <c r="B45" t="s">
        <v>258</v>
      </c>
      <c r="C45" t="s">
        <v>264</v>
      </c>
      <c r="D45" t="s">
        <v>47</v>
      </c>
      <c r="E45">
        <v>-15288.66</v>
      </c>
      <c r="F45">
        <f>COUNTIF(INDEX(Table1[DocNo],1):Table1[[#This Row],[DocNo]],Table1[[#This Row],[DocNo]])</f>
        <v>1</v>
      </c>
      <c r="G45" s="3">
        <f>IFERROR(INDEX(Table2[Amount],MATCH(Table1[[#This Row],[DocNo]],Table2[Reference],0)),0)</f>
        <v>-15288.66</v>
      </c>
      <c r="H45" s="3">
        <f>IF(COUNTIFS(Table2[Reference],Table1[[#This Row],[DocNo]])=0,0,ROUND(Table1[[#This Row],[Bank Amount]]-Table1[[#This Row],[Amount]],2))</f>
        <v>0</v>
      </c>
      <c r="I45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46" spans="1:9" x14ac:dyDescent="0.45">
      <c r="A46" s="1">
        <v>46182</v>
      </c>
      <c r="B46" t="s">
        <v>258</v>
      </c>
      <c r="C46" t="s">
        <v>264</v>
      </c>
      <c r="D46" t="s">
        <v>48</v>
      </c>
      <c r="E46">
        <v>-14804.25</v>
      </c>
      <c r="F46">
        <f>COUNTIF(INDEX(Table1[DocNo],1):Table1[[#This Row],[DocNo]],Table1[[#This Row],[DocNo]])</f>
        <v>1</v>
      </c>
      <c r="G46" s="3">
        <f>IFERROR(INDEX(Table2[Amount],MATCH(Table1[[#This Row],[DocNo]],Table2[Reference],0)),0)</f>
        <v>-14804.25</v>
      </c>
      <c r="H46" s="3">
        <f>IF(COUNTIFS(Table2[Reference],Table1[[#This Row],[DocNo]])=0,0,ROUND(Table1[[#This Row],[Bank Amount]]-Table1[[#This Row],[Amount]],2))</f>
        <v>0</v>
      </c>
      <c r="I46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47" spans="1:9" x14ac:dyDescent="0.45">
      <c r="A47" s="1">
        <v>46184</v>
      </c>
      <c r="B47" t="s">
        <v>258</v>
      </c>
      <c r="C47" t="s">
        <v>272</v>
      </c>
      <c r="D47" t="s">
        <v>49</v>
      </c>
      <c r="E47">
        <v>-22782.19</v>
      </c>
      <c r="F47">
        <f>COUNTIF(INDEX(Table1[DocNo],1):Table1[[#This Row],[DocNo]],Table1[[#This Row],[DocNo]])</f>
        <v>1</v>
      </c>
      <c r="G47" s="3">
        <f>IFERROR(INDEX(Table2[Amount],MATCH(Table1[[#This Row],[DocNo]],Table2[Reference],0)),0)</f>
        <v>-22782.19</v>
      </c>
      <c r="H47" s="3">
        <f>IF(COUNTIFS(Table2[Reference],Table1[[#This Row],[DocNo]])=0,0,ROUND(Table1[[#This Row],[Bank Amount]]-Table1[[#This Row],[Amount]],2))</f>
        <v>0</v>
      </c>
      <c r="I47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48" spans="1:9" x14ac:dyDescent="0.45">
      <c r="A48" s="1">
        <v>46184</v>
      </c>
      <c r="B48" t="s">
        <v>258</v>
      </c>
      <c r="C48" t="s">
        <v>259</v>
      </c>
      <c r="D48" t="s">
        <v>50</v>
      </c>
      <c r="E48">
        <v>-15073.56</v>
      </c>
      <c r="F48">
        <f>COUNTIF(INDEX(Table1[DocNo],1):Table1[[#This Row],[DocNo]],Table1[[#This Row],[DocNo]])</f>
        <v>1</v>
      </c>
      <c r="G48" s="3">
        <f>IFERROR(INDEX(Table2[Amount],MATCH(Table1[[#This Row],[DocNo]],Table2[Reference],0)),0)</f>
        <v>-15073.56</v>
      </c>
      <c r="H48" s="3">
        <f>IF(COUNTIFS(Table2[Reference],Table1[[#This Row],[DocNo]])=0,0,ROUND(Table1[[#This Row],[Bank Amount]]-Table1[[#This Row],[Amount]],2))</f>
        <v>0</v>
      </c>
      <c r="I48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49" spans="1:9" x14ac:dyDescent="0.45">
      <c r="A49" s="1">
        <v>46184</v>
      </c>
      <c r="B49" t="s">
        <v>258</v>
      </c>
      <c r="C49" t="s">
        <v>260</v>
      </c>
      <c r="D49" t="s">
        <v>51</v>
      </c>
      <c r="E49">
        <v>-21055.08</v>
      </c>
      <c r="F49">
        <f>COUNTIF(INDEX(Table1[DocNo],1):Table1[[#This Row],[DocNo]],Table1[[#This Row],[DocNo]])</f>
        <v>1</v>
      </c>
      <c r="G49" s="3">
        <f>IFERROR(INDEX(Table2[Amount],MATCH(Table1[[#This Row],[DocNo]],Table2[Reference],0)),0)</f>
        <v>-21055.08</v>
      </c>
      <c r="H49" s="3">
        <f>IF(COUNTIFS(Table2[Reference],Table1[[#This Row],[DocNo]])=0,0,ROUND(Table1[[#This Row],[Bank Amount]]-Table1[[#This Row],[Amount]],2))</f>
        <v>0</v>
      </c>
      <c r="I49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50" spans="1:9" x14ac:dyDescent="0.45">
      <c r="A50" s="1">
        <v>46184</v>
      </c>
      <c r="B50" t="s">
        <v>258</v>
      </c>
      <c r="C50" t="s">
        <v>261</v>
      </c>
      <c r="D50" t="s">
        <v>52</v>
      </c>
      <c r="E50">
        <v>41142.46</v>
      </c>
      <c r="F50">
        <f>COUNTIF(INDEX(Table1[DocNo],1):Table1[[#This Row],[DocNo]],Table1[[#This Row],[DocNo]])</f>
        <v>1</v>
      </c>
      <c r="G50" s="3">
        <f>IFERROR(INDEX(Table2[Amount],MATCH(Table1[[#This Row],[DocNo]],Table2[Reference],0)),0)</f>
        <v>41142.46</v>
      </c>
      <c r="H50" s="3">
        <f>IF(COUNTIFS(Table2[Reference],Table1[[#This Row],[DocNo]])=0,0,ROUND(Table1[[#This Row],[Bank Amount]]-Table1[[#This Row],[Amount]],2))</f>
        <v>0</v>
      </c>
      <c r="I50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51" spans="1:9" x14ac:dyDescent="0.45">
      <c r="A51" s="1">
        <v>46184</v>
      </c>
      <c r="B51" t="s">
        <v>258</v>
      </c>
      <c r="C51" t="s">
        <v>265</v>
      </c>
      <c r="D51" t="s">
        <v>53</v>
      </c>
      <c r="E51">
        <v>87832.55</v>
      </c>
      <c r="F51">
        <f>COUNTIF(INDEX(Table1[DocNo],1):Table1[[#This Row],[DocNo]],Table1[[#This Row],[DocNo]])</f>
        <v>1</v>
      </c>
      <c r="G51" s="3">
        <f>IFERROR(INDEX(Table2[Amount],MATCH(Table1[[#This Row],[DocNo]],Table2[Reference],0)),0)</f>
        <v>87832.55</v>
      </c>
      <c r="H51" s="3">
        <f>IF(COUNTIFS(Table2[Reference],Table1[[#This Row],[DocNo]])=0,0,ROUND(Table1[[#This Row],[Bank Amount]]-Table1[[#This Row],[Amount]],2))</f>
        <v>0</v>
      </c>
      <c r="I51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52" spans="1:9" x14ac:dyDescent="0.45">
      <c r="A52" s="1">
        <v>46184</v>
      </c>
      <c r="B52" t="s">
        <v>258</v>
      </c>
      <c r="C52" t="s">
        <v>268</v>
      </c>
      <c r="D52" t="s">
        <v>54</v>
      </c>
      <c r="E52">
        <v>-11233.06</v>
      </c>
      <c r="F52">
        <f>COUNTIF(INDEX(Table1[DocNo],1):Table1[[#This Row],[DocNo]],Table1[[#This Row],[DocNo]])</f>
        <v>1</v>
      </c>
      <c r="G52" s="3">
        <f>IFERROR(INDEX(Table2[Amount],MATCH(Table1[[#This Row],[DocNo]],Table2[Reference],0)),0)</f>
        <v>-11233.06</v>
      </c>
      <c r="H52" s="3">
        <f>IF(COUNTIFS(Table2[Reference],Table1[[#This Row],[DocNo]])=0,0,ROUND(Table1[[#This Row],[Bank Amount]]-Table1[[#This Row],[Amount]],2))</f>
        <v>0</v>
      </c>
      <c r="I52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53" spans="1:9" x14ac:dyDescent="0.45">
      <c r="A53" s="1">
        <v>46184</v>
      </c>
      <c r="B53" t="s">
        <v>258</v>
      </c>
      <c r="C53" t="s">
        <v>268</v>
      </c>
      <c r="D53" t="s">
        <v>55</v>
      </c>
      <c r="E53">
        <v>-11995.77</v>
      </c>
      <c r="F53">
        <f>COUNTIF(INDEX(Table1[DocNo],1):Table1[[#This Row],[DocNo]],Table1[[#This Row],[DocNo]])</f>
        <v>1</v>
      </c>
      <c r="G53" s="3">
        <f>IFERROR(INDEX(Table2[Amount],MATCH(Table1[[#This Row],[DocNo]],Table2[Reference],0)),0)</f>
        <v>-11995.77</v>
      </c>
      <c r="H53" s="3">
        <f>IF(COUNTIFS(Table2[Reference],Table1[[#This Row],[DocNo]])=0,0,ROUND(Table1[[#This Row],[Bank Amount]]-Table1[[#This Row],[Amount]],2))</f>
        <v>0</v>
      </c>
      <c r="I53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54" spans="1:9" x14ac:dyDescent="0.45">
      <c r="A54" s="1">
        <v>46185</v>
      </c>
      <c r="B54" t="s">
        <v>258</v>
      </c>
      <c r="C54" t="s">
        <v>266</v>
      </c>
      <c r="D54" t="s">
        <v>56</v>
      </c>
      <c r="E54">
        <v>-1176.3599999999999</v>
      </c>
      <c r="F54">
        <f>COUNTIF(INDEX(Table1[DocNo],1):Table1[[#This Row],[DocNo]],Table1[[#This Row],[DocNo]])</f>
        <v>1</v>
      </c>
      <c r="G54" s="3">
        <f>IFERROR(INDEX(Table2[Amount],MATCH(Table1[[#This Row],[DocNo]],Table2[Reference],0)),0)</f>
        <v>-1176.3599999999999</v>
      </c>
      <c r="H54" s="3">
        <f>IF(COUNTIFS(Table2[Reference],Table1[[#This Row],[DocNo]])=0,0,ROUND(Table1[[#This Row],[Bank Amount]]-Table1[[#This Row],[Amount]],2))</f>
        <v>0</v>
      </c>
      <c r="I54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55" spans="1:9" x14ac:dyDescent="0.45">
      <c r="A55" s="1">
        <v>46185</v>
      </c>
      <c r="B55" t="s">
        <v>258</v>
      </c>
      <c r="C55" t="s">
        <v>263</v>
      </c>
      <c r="D55" t="s">
        <v>57</v>
      </c>
      <c r="E55">
        <v>-16179.58</v>
      </c>
      <c r="F55">
        <f>COUNTIF(INDEX(Table1[DocNo],1):Table1[[#This Row],[DocNo]],Table1[[#This Row],[DocNo]])</f>
        <v>1</v>
      </c>
      <c r="G55" s="3">
        <f>IFERROR(INDEX(Table2[Amount],MATCH(Table1[[#This Row],[DocNo]],Table2[Reference],0)),0)</f>
        <v>-16179.58</v>
      </c>
      <c r="H55" s="3">
        <f>IF(COUNTIFS(Table2[Reference],Table1[[#This Row],[DocNo]])=0,0,ROUND(Table1[[#This Row],[Bank Amount]]-Table1[[#This Row],[Amount]],2))</f>
        <v>0</v>
      </c>
      <c r="I55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56" spans="1:9" x14ac:dyDescent="0.45">
      <c r="A56" s="1">
        <v>46185</v>
      </c>
      <c r="B56" t="s">
        <v>258</v>
      </c>
      <c r="C56" t="s">
        <v>270</v>
      </c>
      <c r="D56" t="s">
        <v>58</v>
      </c>
      <c r="E56">
        <v>-743.29</v>
      </c>
      <c r="F56">
        <f>COUNTIF(INDEX(Table1[DocNo],1):Table1[[#This Row],[DocNo]],Table1[[#This Row],[DocNo]])</f>
        <v>1</v>
      </c>
      <c r="G56" s="3">
        <f>IFERROR(INDEX(Table2[Amount],MATCH(Table1[[#This Row],[DocNo]],Table2[Reference],0)),0)</f>
        <v>-743.6</v>
      </c>
      <c r="H56" s="3">
        <f>IF(COUNTIFS(Table2[Reference],Table1[[#This Row],[DocNo]])=0,0,ROUND(Table1[[#This Row],[Bank Amount]]-Table1[[#This Row],[Amount]],2))</f>
        <v>-0.31</v>
      </c>
      <c r="I56" t="str">
        <f>IF(Table1[[#This Row],[Occurrence]]&gt;1,"Duplicate",IF(COUNTIFS(Table2[Reference],Table1[[#This Row],[DocNo]])=0,"GL only",IF(Table1[[#This Row],[Difference]]&lt;&gt;0,"Amount difference","Matched")))</f>
        <v>Amount difference</v>
      </c>
    </row>
    <row r="57" spans="1:9" x14ac:dyDescent="0.45">
      <c r="A57" s="1">
        <v>46185</v>
      </c>
      <c r="B57" t="s">
        <v>258</v>
      </c>
      <c r="C57" t="s">
        <v>273</v>
      </c>
      <c r="D57" t="s">
        <v>59</v>
      </c>
      <c r="E57">
        <v>-10980.23</v>
      </c>
      <c r="F57">
        <f>COUNTIF(INDEX(Table1[DocNo],1):Table1[[#This Row],[DocNo]],Table1[[#This Row],[DocNo]])</f>
        <v>1</v>
      </c>
      <c r="G57" s="3">
        <f>IFERROR(INDEX(Table2[Amount],MATCH(Table1[[#This Row],[DocNo]],Table2[Reference],0)),0)</f>
        <v>-10980.23</v>
      </c>
      <c r="H57" s="3">
        <f>IF(COUNTIFS(Table2[Reference],Table1[[#This Row],[DocNo]])=0,0,ROUND(Table1[[#This Row],[Bank Amount]]-Table1[[#This Row],[Amount]],2))</f>
        <v>0</v>
      </c>
      <c r="I57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58" spans="1:9" x14ac:dyDescent="0.45">
      <c r="A58" s="1">
        <v>46185</v>
      </c>
      <c r="B58" t="s">
        <v>258</v>
      </c>
      <c r="C58" t="s">
        <v>275</v>
      </c>
      <c r="D58" t="s">
        <v>60</v>
      </c>
      <c r="E58">
        <v>-2483.7800000000002</v>
      </c>
      <c r="F58">
        <f>COUNTIF(INDEX(Table1[DocNo],1):Table1[[#This Row],[DocNo]],Table1[[#This Row],[DocNo]])</f>
        <v>1</v>
      </c>
      <c r="G58" s="3">
        <f>IFERROR(INDEX(Table2[Amount],MATCH(Table1[[#This Row],[DocNo]],Table2[Reference],0)),0)</f>
        <v>-2483.7800000000002</v>
      </c>
      <c r="H58" s="3">
        <f>IF(COUNTIFS(Table2[Reference],Table1[[#This Row],[DocNo]])=0,0,ROUND(Table1[[#This Row],[Bank Amount]]-Table1[[#This Row],[Amount]],2))</f>
        <v>0</v>
      </c>
      <c r="I58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59" spans="1:9" x14ac:dyDescent="0.45">
      <c r="A59" s="1">
        <v>46188</v>
      </c>
      <c r="B59" t="s">
        <v>258</v>
      </c>
      <c r="C59" t="s">
        <v>267</v>
      </c>
      <c r="D59" t="s">
        <v>61</v>
      </c>
      <c r="E59">
        <v>-15901.99</v>
      </c>
      <c r="F59">
        <f>COUNTIF(INDEX(Table1[DocNo],1):Table1[[#This Row],[DocNo]],Table1[[#This Row],[DocNo]])</f>
        <v>1</v>
      </c>
      <c r="G59" s="3">
        <f>IFERROR(INDEX(Table2[Amount],MATCH(Table1[[#This Row],[DocNo]],Table2[Reference],0)),0)</f>
        <v>-15901.99</v>
      </c>
      <c r="H59" s="3">
        <f>IF(COUNTIFS(Table2[Reference],Table1[[#This Row],[DocNo]])=0,0,ROUND(Table1[[#This Row],[Bank Amount]]-Table1[[#This Row],[Amount]],2))</f>
        <v>0</v>
      </c>
      <c r="I59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60" spans="1:9" x14ac:dyDescent="0.45">
      <c r="A60" s="1">
        <v>46188</v>
      </c>
      <c r="B60" t="s">
        <v>258</v>
      </c>
      <c r="C60" t="s">
        <v>278</v>
      </c>
      <c r="D60" t="s">
        <v>62</v>
      </c>
      <c r="E60">
        <v>-8619.3700000000008</v>
      </c>
      <c r="F60">
        <f>COUNTIF(INDEX(Table1[DocNo],1):Table1[[#This Row],[DocNo]],Table1[[#This Row],[DocNo]])</f>
        <v>1</v>
      </c>
      <c r="G60" s="3">
        <f>IFERROR(INDEX(Table2[Amount],MATCH(Table1[[#This Row],[DocNo]],Table2[Reference],0)),0)</f>
        <v>-8619.3700000000008</v>
      </c>
      <c r="H60" s="3">
        <f>IF(COUNTIFS(Table2[Reference],Table1[[#This Row],[DocNo]])=0,0,ROUND(Table1[[#This Row],[Bank Amount]]-Table1[[#This Row],[Amount]],2))</f>
        <v>0</v>
      </c>
      <c r="I60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61" spans="1:9" x14ac:dyDescent="0.45">
      <c r="A61" s="1">
        <v>46188</v>
      </c>
      <c r="B61" t="s">
        <v>258</v>
      </c>
      <c r="C61" t="s">
        <v>278</v>
      </c>
      <c r="D61" t="s">
        <v>63</v>
      </c>
      <c r="E61">
        <v>-4550.6899999999996</v>
      </c>
      <c r="F61">
        <f>COUNTIF(INDEX(Table1[DocNo],1):Table1[[#This Row],[DocNo]],Table1[[#This Row],[DocNo]])</f>
        <v>1</v>
      </c>
      <c r="G61" s="3">
        <f>IFERROR(INDEX(Table2[Amount],MATCH(Table1[[#This Row],[DocNo]],Table2[Reference],0)),0)</f>
        <v>-4550.6899999999996</v>
      </c>
      <c r="H61" s="3">
        <f>IF(COUNTIFS(Table2[Reference],Table1[[#This Row],[DocNo]])=0,0,ROUND(Table1[[#This Row],[Bank Amount]]-Table1[[#This Row],[Amount]],2))</f>
        <v>0</v>
      </c>
      <c r="I61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62" spans="1:9" x14ac:dyDescent="0.45">
      <c r="A62" s="1">
        <v>46188</v>
      </c>
      <c r="B62" t="s">
        <v>258</v>
      </c>
      <c r="C62" t="s">
        <v>259</v>
      </c>
      <c r="D62" t="s">
        <v>64</v>
      </c>
      <c r="E62">
        <v>-21240.09</v>
      </c>
      <c r="F62">
        <f>COUNTIF(INDEX(Table1[DocNo],1):Table1[[#This Row],[DocNo]],Table1[[#This Row],[DocNo]])</f>
        <v>1</v>
      </c>
      <c r="G62" s="3">
        <f>IFERROR(INDEX(Table2[Amount],MATCH(Table1[[#This Row],[DocNo]],Table2[Reference],0)),0)</f>
        <v>-21240.09</v>
      </c>
      <c r="H62" s="3">
        <f>IF(COUNTIFS(Table2[Reference],Table1[[#This Row],[DocNo]])=0,0,ROUND(Table1[[#This Row],[Bank Amount]]-Table1[[#This Row],[Amount]],2))</f>
        <v>0</v>
      </c>
      <c r="I62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63" spans="1:9" x14ac:dyDescent="0.45">
      <c r="A63" s="1">
        <v>46188</v>
      </c>
      <c r="B63" t="s">
        <v>258</v>
      </c>
      <c r="C63" t="s">
        <v>274</v>
      </c>
      <c r="D63" t="s">
        <v>65</v>
      </c>
      <c r="E63">
        <v>-19356.189999999999</v>
      </c>
      <c r="F63">
        <f>COUNTIF(INDEX(Table1[DocNo],1):Table1[[#This Row],[DocNo]],Table1[[#This Row],[DocNo]])</f>
        <v>1</v>
      </c>
      <c r="G63" s="3">
        <f>IFERROR(INDEX(Table2[Amount],MATCH(Table1[[#This Row],[DocNo]],Table2[Reference],0)),0)</f>
        <v>-19356.189999999999</v>
      </c>
      <c r="H63" s="3">
        <f>IF(COUNTIFS(Table2[Reference],Table1[[#This Row],[DocNo]])=0,0,ROUND(Table1[[#This Row],[Bank Amount]]-Table1[[#This Row],[Amount]],2))</f>
        <v>0</v>
      </c>
      <c r="I63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64" spans="1:9" x14ac:dyDescent="0.45">
      <c r="A64" s="1">
        <v>46188</v>
      </c>
      <c r="B64" t="s">
        <v>258</v>
      </c>
      <c r="C64" t="s">
        <v>275</v>
      </c>
      <c r="D64" t="s">
        <v>66</v>
      </c>
      <c r="E64">
        <v>-9270.17</v>
      </c>
      <c r="F64">
        <f>COUNTIF(INDEX(Table1[DocNo],1):Table1[[#This Row],[DocNo]],Table1[[#This Row],[DocNo]])</f>
        <v>1</v>
      </c>
      <c r="G64" s="3">
        <f>IFERROR(INDEX(Table2[Amount],MATCH(Table1[[#This Row],[DocNo]],Table2[Reference],0)),0)</f>
        <v>-9270.17</v>
      </c>
      <c r="H64" s="3">
        <f>IF(COUNTIFS(Table2[Reference],Table1[[#This Row],[DocNo]])=0,0,ROUND(Table1[[#This Row],[Bank Amount]]-Table1[[#This Row],[Amount]],2))</f>
        <v>0</v>
      </c>
      <c r="I64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65" spans="1:9" x14ac:dyDescent="0.45">
      <c r="A65" s="1">
        <v>46188</v>
      </c>
      <c r="B65" t="s">
        <v>258</v>
      </c>
      <c r="C65" t="s">
        <v>277</v>
      </c>
      <c r="D65" t="s">
        <v>67</v>
      </c>
      <c r="E65">
        <v>-12952.95</v>
      </c>
      <c r="F65">
        <f>COUNTIF(INDEX(Table1[DocNo],1):Table1[[#This Row],[DocNo]],Table1[[#This Row],[DocNo]])</f>
        <v>1</v>
      </c>
      <c r="G65" s="3">
        <f>IFERROR(INDEX(Table2[Amount],MATCH(Table1[[#This Row],[DocNo]],Table2[Reference],0)),0)</f>
        <v>-12952.95</v>
      </c>
      <c r="H65" s="3">
        <f>IF(COUNTIFS(Table2[Reference],Table1[[#This Row],[DocNo]])=0,0,ROUND(Table1[[#This Row],[Bank Amount]]-Table1[[#This Row],[Amount]],2))</f>
        <v>0</v>
      </c>
      <c r="I65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66" spans="1:9" x14ac:dyDescent="0.45">
      <c r="A66" s="1">
        <v>46188</v>
      </c>
      <c r="B66" t="s">
        <v>258</v>
      </c>
      <c r="C66" t="s">
        <v>277</v>
      </c>
      <c r="D66" t="s">
        <v>68</v>
      </c>
      <c r="E66">
        <v>-13321.03</v>
      </c>
      <c r="F66">
        <f>COUNTIF(INDEX(Table1[DocNo],1):Table1[[#This Row],[DocNo]],Table1[[#This Row],[DocNo]])</f>
        <v>1</v>
      </c>
      <c r="G66" s="3">
        <f>IFERROR(INDEX(Table2[Amount],MATCH(Table1[[#This Row],[DocNo]],Table2[Reference],0)),0)</f>
        <v>-13321.03</v>
      </c>
      <c r="H66" s="3">
        <f>IF(COUNTIFS(Table2[Reference],Table1[[#This Row],[DocNo]])=0,0,ROUND(Table1[[#This Row],[Bank Amount]]-Table1[[#This Row],[Amount]],2))</f>
        <v>0</v>
      </c>
      <c r="I66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67" spans="1:9" x14ac:dyDescent="0.45">
      <c r="A67" s="1">
        <v>46188</v>
      </c>
      <c r="B67" t="s">
        <v>258</v>
      </c>
      <c r="C67" t="s">
        <v>279</v>
      </c>
      <c r="D67" t="s">
        <v>69</v>
      </c>
      <c r="E67">
        <v>-2837.17</v>
      </c>
      <c r="F67">
        <f>COUNTIF(INDEX(Table1[DocNo],1):Table1[[#This Row],[DocNo]],Table1[[#This Row],[DocNo]])</f>
        <v>1</v>
      </c>
      <c r="G67" s="3">
        <f>IFERROR(INDEX(Table2[Amount],MATCH(Table1[[#This Row],[DocNo]],Table2[Reference],0)),0)</f>
        <v>-2837.17</v>
      </c>
      <c r="H67" s="3">
        <f>IF(COUNTIFS(Table2[Reference],Table1[[#This Row],[DocNo]])=0,0,ROUND(Table1[[#This Row],[Bank Amount]]-Table1[[#This Row],[Amount]],2))</f>
        <v>0</v>
      </c>
      <c r="I67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68" spans="1:9" x14ac:dyDescent="0.45">
      <c r="A68" s="1">
        <v>46189</v>
      </c>
      <c r="B68" t="s">
        <v>258</v>
      </c>
      <c r="C68" t="s">
        <v>259</v>
      </c>
      <c r="D68" t="s">
        <v>70</v>
      </c>
      <c r="E68">
        <v>-15945.77</v>
      </c>
      <c r="F68">
        <f>COUNTIF(INDEX(Table1[DocNo],1):Table1[[#This Row],[DocNo]],Table1[[#This Row],[DocNo]])</f>
        <v>1</v>
      </c>
      <c r="G68" s="3">
        <f>IFERROR(INDEX(Table2[Amount],MATCH(Table1[[#This Row],[DocNo]],Table2[Reference],0)),0)</f>
        <v>-15945.77</v>
      </c>
      <c r="H68" s="3">
        <f>IF(COUNTIFS(Table2[Reference],Table1[[#This Row],[DocNo]])=0,0,ROUND(Table1[[#This Row],[Bank Amount]]-Table1[[#This Row],[Amount]],2))</f>
        <v>0</v>
      </c>
      <c r="I68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69" spans="1:9" x14ac:dyDescent="0.45">
      <c r="A69" s="1">
        <v>46189</v>
      </c>
      <c r="B69" t="s">
        <v>258</v>
      </c>
      <c r="C69" t="s">
        <v>261</v>
      </c>
      <c r="D69" t="s">
        <v>71</v>
      </c>
      <c r="E69">
        <v>78905.009999999995</v>
      </c>
      <c r="F69">
        <f>COUNTIF(INDEX(Table1[DocNo],1):Table1[[#This Row],[DocNo]],Table1[[#This Row],[DocNo]])</f>
        <v>1</v>
      </c>
      <c r="G69" s="3">
        <f>IFERROR(INDEX(Table2[Amount],MATCH(Table1[[#This Row],[DocNo]],Table2[Reference],0)),0)</f>
        <v>78905.009999999995</v>
      </c>
      <c r="H69" s="3">
        <f>IF(COUNTIFS(Table2[Reference],Table1[[#This Row],[DocNo]])=0,0,ROUND(Table1[[#This Row],[Bank Amount]]-Table1[[#This Row],[Amount]],2))</f>
        <v>0</v>
      </c>
      <c r="I69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70" spans="1:9" x14ac:dyDescent="0.45">
      <c r="A70" s="1">
        <v>46189</v>
      </c>
      <c r="B70" t="s">
        <v>258</v>
      </c>
      <c r="C70" t="s">
        <v>262</v>
      </c>
      <c r="D70" t="s">
        <v>72</v>
      </c>
      <c r="E70">
        <v>-6813.33</v>
      </c>
      <c r="F70">
        <f>COUNTIF(INDEX(Table1[DocNo],1):Table1[[#This Row],[DocNo]],Table1[[#This Row],[DocNo]])</f>
        <v>1</v>
      </c>
      <c r="G70" s="3">
        <f>IFERROR(INDEX(Table2[Amount],MATCH(Table1[[#This Row],[DocNo]],Table2[Reference],0)),0)</f>
        <v>-6813.33</v>
      </c>
      <c r="H70" s="3">
        <f>IF(COUNTIFS(Table2[Reference],Table1[[#This Row],[DocNo]])=0,0,ROUND(Table1[[#This Row],[Bank Amount]]-Table1[[#This Row],[Amount]],2))</f>
        <v>0</v>
      </c>
      <c r="I70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71" spans="1:9" x14ac:dyDescent="0.45">
      <c r="A71" s="1">
        <v>46189</v>
      </c>
      <c r="B71" t="s">
        <v>258</v>
      </c>
      <c r="C71" t="s">
        <v>265</v>
      </c>
      <c r="D71" t="s">
        <v>73</v>
      </c>
      <c r="E71">
        <v>61577.27</v>
      </c>
      <c r="F71">
        <f>COUNTIF(INDEX(Table1[DocNo],1):Table1[[#This Row],[DocNo]],Table1[[#This Row],[DocNo]])</f>
        <v>1</v>
      </c>
      <c r="G71" s="3">
        <f>IFERROR(INDEX(Table2[Amount],MATCH(Table1[[#This Row],[DocNo]],Table2[Reference],0)),0)</f>
        <v>61577.27</v>
      </c>
      <c r="H71" s="3">
        <f>IF(COUNTIFS(Table2[Reference],Table1[[#This Row],[DocNo]])=0,0,ROUND(Table1[[#This Row],[Bank Amount]]-Table1[[#This Row],[Amount]],2))</f>
        <v>0</v>
      </c>
      <c r="I71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72" spans="1:9" x14ac:dyDescent="0.45">
      <c r="A72" s="1">
        <v>46190</v>
      </c>
      <c r="B72" t="s">
        <v>258</v>
      </c>
      <c r="C72" t="s">
        <v>269</v>
      </c>
      <c r="D72" t="s">
        <v>74</v>
      </c>
      <c r="E72">
        <v>56603.15</v>
      </c>
      <c r="F72">
        <f>COUNTIF(INDEX(Table1[DocNo],1):Table1[[#This Row],[DocNo]],Table1[[#This Row],[DocNo]])</f>
        <v>1</v>
      </c>
      <c r="G72" s="3">
        <f>IFERROR(INDEX(Table2[Amount],MATCH(Table1[[#This Row],[DocNo]],Table2[Reference],0)),0)</f>
        <v>56603.15</v>
      </c>
      <c r="H72" s="3">
        <f>IF(COUNTIFS(Table2[Reference],Table1[[#This Row],[DocNo]])=0,0,ROUND(Table1[[#This Row],[Bank Amount]]-Table1[[#This Row],[Amount]],2))</f>
        <v>0</v>
      </c>
      <c r="I72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73" spans="1:9" x14ac:dyDescent="0.45">
      <c r="A73" s="1">
        <v>46190</v>
      </c>
      <c r="B73" t="s">
        <v>258</v>
      </c>
      <c r="C73" t="s">
        <v>270</v>
      </c>
      <c r="D73" t="s">
        <v>75</v>
      </c>
      <c r="E73">
        <v>-22079.8</v>
      </c>
      <c r="F73">
        <f>COUNTIF(INDEX(Table1[DocNo],1):Table1[[#This Row],[DocNo]],Table1[[#This Row],[DocNo]])</f>
        <v>1</v>
      </c>
      <c r="G73" s="3">
        <f>IFERROR(INDEX(Table2[Amount],MATCH(Table1[[#This Row],[DocNo]],Table2[Reference],0)),0)</f>
        <v>-22079.8</v>
      </c>
      <c r="H73" s="3">
        <f>IF(COUNTIFS(Table2[Reference],Table1[[#This Row],[DocNo]])=0,0,ROUND(Table1[[#This Row],[Bank Amount]]-Table1[[#This Row],[Amount]],2))</f>
        <v>0</v>
      </c>
      <c r="I73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74" spans="1:9" x14ac:dyDescent="0.45">
      <c r="A74" s="1">
        <v>46190</v>
      </c>
      <c r="B74" t="s">
        <v>258</v>
      </c>
      <c r="C74" t="s">
        <v>274</v>
      </c>
      <c r="D74" t="s">
        <v>76</v>
      </c>
      <c r="E74">
        <v>-4709.2299999999996</v>
      </c>
      <c r="F74">
        <f>COUNTIF(INDEX(Table1[DocNo],1):Table1[[#This Row],[DocNo]],Table1[[#This Row],[DocNo]])</f>
        <v>1</v>
      </c>
      <c r="G74" s="3">
        <f>IFERROR(INDEX(Table2[Amount],MATCH(Table1[[#This Row],[DocNo]],Table2[Reference],0)),0)</f>
        <v>-4709.2299999999996</v>
      </c>
      <c r="H74" s="3">
        <f>IF(COUNTIFS(Table2[Reference],Table1[[#This Row],[DocNo]])=0,0,ROUND(Table1[[#This Row],[Bank Amount]]-Table1[[#This Row],[Amount]],2))</f>
        <v>0</v>
      </c>
      <c r="I74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75" spans="1:9" x14ac:dyDescent="0.45">
      <c r="A75" s="1">
        <v>46191</v>
      </c>
      <c r="B75" t="s">
        <v>258</v>
      </c>
      <c r="C75" t="s">
        <v>280</v>
      </c>
      <c r="D75" t="s">
        <v>77</v>
      </c>
      <c r="E75">
        <v>-15305.18</v>
      </c>
      <c r="F75">
        <f>COUNTIF(INDEX(Table1[DocNo],1):Table1[[#This Row],[DocNo]],Table1[[#This Row],[DocNo]])</f>
        <v>1</v>
      </c>
      <c r="G75" s="3">
        <f>IFERROR(INDEX(Table2[Amount],MATCH(Table1[[#This Row],[DocNo]],Table2[Reference],0)),0)</f>
        <v>-15305.18</v>
      </c>
      <c r="H75" s="3">
        <f>IF(COUNTIFS(Table2[Reference],Table1[[#This Row],[DocNo]])=0,0,ROUND(Table1[[#This Row],[Bank Amount]]-Table1[[#This Row],[Amount]],2))</f>
        <v>0</v>
      </c>
      <c r="I75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76" spans="1:9" x14ac:dyDescent="0.45">
      <c r="A76" s="1">
        <v>46191</v>
      </c>
      <c r="B76" t="s">
        <v>258</v>
      </c>
      <c r="C76" t="s">
        <v>266</v>
      </c>
      <c r="D76" t="s">
        <v>78</v>
      </c>
      <c r="E76">
        <v>-15895.26</v>
      </c>
      <c r="F76">
        <f>COUNTIF(INDEX(Table1[DocNo],1):Table1[[#This Row],[DocNo]],Table1[[#This Row],[DocNo]])</f>
        <v>1</v>
      </c>
      <c r="G76" s="3">
        <f>IFERROR(INDEX(Table2[Amount],MATCH(Table1[[#This Row],[DocNo]],Table2[Reference],0)),0)</f>
        <v>-15895.26</v>
      </c>
      <c r="H76" s="3">
        <f>IF(COUNTIFS(Table2[Reference],Table1[[#This Row],[DocNo]])=0,0,ROUND(Table1[[#This Row],[Bank Amount]]-Table1[[#This Row],[Amount]],2))</f>
        <v>0</v>
      </c>
      <c r="I76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77" spans="1:9" x14ac:dyDescent="0.45">
      <c r="A77" s="1">
        <v>46191</v>
      </c>
      <c r="B77" t="s">
        <v>258</v>
      </c>
      <c r="C77" t="s">
        <v>79</v>
      </c>
      <c r="D77" t="s">
        <v>80</v>
      </c>
      <c r="E77">
        <v>111792.66</v>
      </c>
      <c r="F77">
        <f>COUNTIF(INDEX(Table1[DocNo],1):Table1[[#This Row],[DocNo]],Table1[[#This Row],[DocNo]])</f>
        <v>1</v>
      </c>
      <c r="G77" s="3">
        <f>IFERROR(INDEX(Table2[Amount],MATCH(Table1[[#This Row],[DocNo]],Table2[Reference],0)),0)</f>
        <v>111792.66</v>
      </c>
      <c r="H77" s="3">
        <f>IF(COUNTIFS(Table2[Reference],Table1[[#This Row],[DocNo]])=0,0,ROUND(Table1[[#This Row],[Bank Amount]]-Table1[[#This Row],[Amount]],2))</f>
        <v>0</v>
      </c>
      <c r="I77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78" spans="1:9" x14ac:dyDescent="0.45">
      <c r="A78" s="1">
        <v>46191</v>
      </c>
      <c r="B78" t="s">
        <v>258</v>
      </c>
      <c r="C78" t="s">
        <v>263</v>
      </c>
      <c r="D78" t="s">
        <v>81</v>
      </c>
      <c r="E78">
        <v>-3937.53</v>
      </c>
      <c r="F78">
        <f>COUNTIF(INDEX(Table1[DocNo],1):Table1[[#This Row],[DocNo]],Table1[[#This Row],[DocNo]])</f>
        <v>1</v>
      </c>
      <c r="G78" s="3">
        <f>IFERROR(INDEX(Table2[Amount],MATCH(Table1[[#This Row],[DocNo]],Table2[Reference],0)),0)</f>
        <v>-3937.53</v>
      </c>
      <c r="H78" s="3">
        <f>IF(COUNTIFS(Table2[Reference],Table1[[#This Row],[DocNo]])=0,0,ROUND(Table1[[#This Row],[Bank Amount]]-Table1[[#This Row],[Amount]],2))</f>
        <v>0</v>
      </c>
      <c r="I78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79" spans="1:9" x14ac:dyDescent="0.45">
      <c r="A79" s="1">
        <v>46191</v>
      </c>
      <c r="B79" t="s">
        <v>258</v>
      </c>
      <c r="C79" t="s">
        <v>261</v>
      </c>
      <c r="D79" t="s">
        <v>82</v>
      </c>
      <c r="E79">
        <v>86353.93</v>
      </c>
      <c r="F79">
        <f>COUNTIF(INDEX(Table1[DocNo],1):Table1[[#This Row],[DocNo]],Table1[[#This Row],[DocNo]])</f>
        <v>1</v>
      </c>
      <c r="G79" s="3">
        <f>IFERROR(INDEX(Table2[Amount],MATCH(Table1[[#This Row],[DocNo]],Table2[Reference],0)),0)</f>
        <v>86353.93</v>
      </c>
      <c r="H79" s="3">
        <f>IF(COUNTIFS(Table2[Reference],Table1[[#This Row],[DocNo]])=0,0,ROUND(Table1[[#This Row],[Bank Amount]]-Table1[[#This Row],[Amount]],2))</f>
        <v>0</v>
      </c>
      <c r="I79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80" spans="1:9" x14ac:dyDescent="0.45">
      <c r="A80" s="1">
        <v>46191</v>
      </c>
      <c r="B80" t="s">
        <v>258</v>
      </c>
      <c r="C80" t="s">
        <v>262</v>
      </c>
      <c r="D80" t="s">
        <v>83</v>
      </c>
      <c r="E80">
        <v>-3495.61</v>
      </c>
      <c r="F80">
        <f>COUNTIF(INDEX(Table1[DocNo],1):Table1[[#This Row],[DocNo]],Table1[[#This Row],[DocNo]])</f>
        <v>1</v>
      </c>
      <c r="G80" s="3">
        <f>IFERROR(INDEX(Table2[Amount],MATCH(Table1[[#This Row],[DocNo]],Table2[Reference],0)),0)</f>
        <v>-3495.61</v>
      </c>
      <c r="H80" s="3">
        <f>IF(COUNTIFS(Table2[Reference],Table1[[#This Row],[DocNo]])=0,0,ROUND(Table1[[#This Row],[Bank Amount]]-Table1[[#This Row],[Amount]],2))</f>
        <v>0</v>
      </c>
      <c r="I80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81" spans="1:9" x14ac:dyDescent="0.45">
      <c r="A81" s="1">
        <v>46191</v>
      </c>
      <c r="B81" t="s">
        <v>258</v>
      </c>
      <c r="C81" t="s">
        <v>262</v>
      </c>
      <c r="D81" t="s">
        <v>84</v>
      </c>
      <c r="E81">
        <v>-2411.2800000000002</v>
      </c>
      <c r="F81">
        <f>COUNTIF(INDEX(Table1[DocNo],1):Table1[[#This Row],[DocNo]],Table1[[#This Row],[DocNo]])</f>
        <v>1</v>
      </c>
      <c r="G81" s="3">
        <f>IFERROR(INDEX(Table2[Amount],MATCH(Table1[[#This Row],[DocNo]],Table2[Reference],0)),0)</f>
        <v>-2411.46</v>
      </c>
      <c r="H81" s="3">
        <f>IF(COUNTIFS(Table2[Reference],Table1[[#This Row],[DocNo]])=0,0,ROUND(Table1[[#This Row],[Bank Amount]]-Table1[[#This Row],[Amount]],2))</f>
        <v>-0.18</v>
      </c>
      <c r="I81" t="str">
        <f>IF(Table1[[#This Row],[Occurrence]]&gt;1,"Duplicate",IF(COUNTIFS(Table2[Reference],Table1[[#This Row],[DocNo]])=0,"GL only",IF(Table1[[#This Row],[Difference]]&lt;&gt;0,"Amount difference","Matched")))</f>
        <v>Amount difference</v>
      </c>
    </row>
    <row r="82" spans="1:9" x14ac:dyDescent="0.45">
      <c r="A82" s="1">
        <v>46191</v>
      </c>
      <c r="B82" t="s">
        <v>258</v>
      </c>
      <c r="C82" t="s">
        <v>264</v>
      </c>
      <c r="D82" t="s">
        <v>85</v>
      </c>
      <c r="E82">
        <v>-10735.37</v>
      </c>
      <c r="F82">
        <f>COUNTIF(INDEX(Table1[DocNo],1):Table1[[#This Row],[DocNo]],Table1[[#This Row],[DocNo]])</f>
        <v>1</v>
      </c>
      <c r="G82" s="3">
        <f>IFERROR(INDEX(Table2[Amount],MATCH(Table1[[#This Row],[DocNo]],Table2[Reference],0)),0)</f>
        <v>-10735.37</v>
      </c>
      <c r="H82" s="3">
        <f>IF(COUNTIFS(Table2[Reference],Table1[[#This Row],[DocNo]])=0,0,ROUND(Table1[[#This Row],[Bank Amount]]-Table1[[#This Row],[Amount]],2))</f>
        <v>0</v>
      </c>
      <c r="I82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83" spans="1:9" x14ac:dyDescent="0.45">
      <c r="A83" s="1">
        <v>46191</v>
      </c>
      <c r="B83" t="s">
        <v>258</v>
      </c>
      <c r="C83" t="s">
        <v>265</v>
      </c>
      <c r="D83" t="s">
        <v>86</v>
      </c>
      <c r="E83">
        <v>47196.480000000003</v>
      </c>
      <c r="F83">
        <f>COUNTIF(INDEX(Table1[DocNo],1):Table1[[#This Row],[DocNo]],Table1[[#This Row],[DocNo]])</f>
        <v>1</v>
      </c>
      <c r="G83" s="3">
        <f>IFERROR(INDEX(Table2[Amount],MATCH(Table1[[#This Row],[DocNo]],Table2[Reference],0)),0)</f>
        <v>47196.480000000003</v>
      </c>
      <c r="H83" s="3">
        <f>IF(COUNTIFS(Table2[Reference],Table1[[#This Row],[DocNo]])=0,0,ROUND(Table1[[#This Row],[Bank Amount]]-Table1[[#This Row],[Amount]],2))</f>
        <v>0</v>
      </c>
      <c r="I83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84" spans="1:9" x14ac:dyDescent="0.45">
      <c r="A84" s="1">
        <v>46192</v>
      </c>
      <c r="B84" t="s">
        <v>258</v>
      </c>
      <c r="C84" t="s">
        <v>280</v>
      </c>
      <c r="D84" t="s">
        <v>87</v>
      </c>
      <c r="E84">
        <v>-2934.68</v>
      </c>
      <c r="F84">
        <f>COUNTIF(INDEX(Table1[DocNo],1):Table1[[#This Row],[DocNo]],Table1[[#This Row],[DocNo]])</f>
        <v>1</v>
      </c>
      <c r="G84" s="3">
        <f>IFERROR(INDEX(Table2[Amount],MATCH(Table1[[#This Row],[DocNo]],Table2[Reference],0)),0)</f>
        <v>-2934.68</v>
      </c>
      <c r="H84" s="3">
        <f>IF(COUNTIFS(Table2[Reference],Table1[[#This Row],[DocNo]])=0,0,ROUND(Table1[[#This Row],[Bank Amount]]-Table1[[#This Row],[Amount]],2))</f>
        <v>0</v>
      </c>
      <c r="I84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85" spans="1:9" x14ac:dyDescent="0.45">
      <c r="A85" s="1">
        <v>46192</v>
      </c>
      <c r="B85" t="s">
        <v>258</v>
      </c>
      <c r="C85" t="s">
        <v>269</v>
      </c>
      <c r="D85" t="s">
        <v>88</v>
      </c>
      <c r="E85">
        <v>30144.87</v>
      </c>
      <c r="F85">
        <f>COUNTIF(INDEX(Table1[DocNo],1):Table1[[#This Row],[DocNo]],Table1[[#This Row],[DocNo]])</f>
        <v>1</v>
      </c>
      <c r="G85" s="3">
        <f>IFERROR(INDEX(Table2[Amount],MATCH(Table1[[#This Row],[DocNo]],Table2[Reference],0)),0)</f>
        <v>30144.87</v>
      </c>
      <c r="H85" s="3">
        <f>IF(COUNTIFS(Table2[Reference],Table1[[#This Row],[DocNo]])=0,0,ROUND(Table1[[#This Row],[Bank Amount]]-Table1[[#This Row],[Amount]],2))</f>
        <v>0</v>
      </c>
      <c r="I85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86" spans="1:9" x14ac:dyDescent="0.45">
      <c r="A86" s="1">
        <v>46192</v>
      </c>
      <c r="B86" t="s">
        <v>258</v>
      </c>
      <c r="C86" t="s">
        <v>266</v>
      </c>
      <c r="D86" t="s">
        <v>89</v>
      </c>
      <c r="E86">
        <v>-17410.259999999998</v>
      </c>
      <c r="F86">
        <f>COUNTIF(INDEX(Table1[DocNo],1):Table1[[#This Row],[DocNo]],Table1[[#This Row],[DocNo]])</f>
        <v>1</v>
      </c>
      <c r="G86" s="3">
        <f>IFERROR(INDEX(Table2[Amount],MATCH(Table1[[#This Row],[DocNo]],Table2[Reference],0)),0)</f>
        <v>-17410.259999999998</v>
      </c>
      <c r="H86" s="3">
        <f>IF(COUNTIFS(Table2[Reference],Table1[[#This Row],[DocNo]])=0,0,ROUND(Table1[[#This Row],[Bank Amount]]-Table1[[#This Row],[Amount]],2))</f>
        <v>0</v>
      </c>
      <c r="I86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87" spans="1:9" x14ac:dyDescent="0.45">
      <c r="A87" s="1">
        <v>46192</v>
      </c>
      <c r="B87" t="s">
        <v>258</v>
      </c>
      <c r="C87" t="s">
        <v>259</v>
      </c>
      <c r="D87" t="s">
        <v>90</v>
      </c>
      <c r="E87">
        <v>-1154.82</v>
      </c>
      <c r="F87">
        <f>COUNTIF(INDEX(Table1[DocNo],1):Table1[[#This Row],[DocNo]],Table1[[#This Row],[DocNo]])</f>
        <v>1</v>
      </c>
      <c r="G87" s="3">
        <f>IFERROR(INDEX(Table2[Amount],MATCH(Table1[[#This Row],[DocNo]],Table2[Reference],0)),0)</f>
        <v>-1154.68</v>
      </c>
      <c r="H87" s="3">
        <f>IF(COUNTIFS(Table2[Reference],Table1[[#This Row],[DocNo]])=0,0,ROUND(Table1[[#This Row],[Bank Amount]]-Table1[[#This Row],[Amount]],2))</f>
        <v>0.14000000000000001</v>
      </c>
      <c r="I87" t="str">
        <f>IF(Table1[[#This Row],[Occurrence]]&gt;1,"Duplicate",IF(COUNTIFS(Table2[Reference],Table1[[#This Row],[DocNo]])=0,"GL only",IF(Table1[[#This Row],[Difference]]&lt;&gt;0,"Amount difference","Matched")))</f>
        <v>Amount difference</v>
      </c>
    </row>
    <row r="88" spans="1:9" x14ac:dyDescent="0.45">
      <c r="A88" s="1">
        <v>46192</v>
      </c>
      <c r="B88" t="s">
        <v>258</v>
      </c>
      <c r="C88" t="s">
        <v>260</v>
      </c>
      <c r="D88" t="s">
        <v>91</v>
      </c>
      <c r="E88">
        <v>-10385.290000000001</v>
      </c>
      <c r="F88">
        <f>COUNTIF(INDEX(Table1[DocNo],1):Table1[[#This Row],[DocNo]],Table1[[#This Row],[DocNo]])</f>
        <v>1</v>
      </c>
      <c r="G88" s="3">
        <f>IFERROR(INDEX(Table2[Amount],MATCH(Table1[[#This Row],[DocNo]],Table2[Reference],0)),0)</f>
        <v>-10385.290000000001</v>
      </c>
      <c r="H88" s="3">
        <f>IF(COUNTIFS(Table2[Reference],Table1[[#This Row],[DocNo]])=0,0,ROUND(Table1[[#This Row],[Bank Amount]]-Table1[[#This Row],[Amount]],2))</f>
        <v>0</v>
      </c>
      <c r="I88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89" spans="1:9" x14ac:dyDescent="0.45">
      <c r="A89" s="1">
        <v>46192</v>
      </c>
      <c r="B89" t="s">
        <v>258</v>
      </c>
      <c r="C89" t="s">
        <v>277</v>
      </c>
      <c r="D89" t="s">
        <v>92</v>
      </c>
      <c r="E89">
        <v>-14976.01</v>
      </c>
      <c r="F89">
        <f>COUNTIF(INDEX(Table1[DocNo],1):Table1[[#This Row],[DocNo]],Table1[[#This Row],[DocNo]])</f>
        <v>1</v>
      </c>
      <c r="G89" s="3">
        <f>IFERROR(INDEX(Table2[Amount],MATCH(Table1[[#This Row],[DocNo]],Table2[Reference],0)),0)</f>
        <v>-14976.01</v>
      </c>
      <c r="H89" s="3">
        <f>IF(COUNTIFS(Table2[Reference],Table1[[#This Row],[DocNo]])=0,0,ROUND(Table1[[#This Row],[Bank Amount]]-Table1[[#This Row],[Amount]],2))</f>
        <v>0</v>
      </c>
      <c r="I89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90" spans="1:9" x14ac:dyDescent="0.45">
      <c r="A90" s="1">
        <v>46195</v>
      </c>
      <c r="B90" t="s">
        <v>258</v>
      </c>
      <c r="C90" t="s">
        <v>281</v>
      </c>
      <c r="D90" t="s">
        <v>93</v>
      </c>
      <c r="E90">
        <v>-7966.03</v>
      </c>
      <c r="F90">
        <f>COUNTIF(INDEX(Table1[DocNo],1):Table1[[#This Row],[DocNo]],Table1[[#This Row],[DocNo]])</f>
        <v>1</v>
      </c>
      <c r="G90" s="3">
        <f>IFERROR(INDEX(Table2[Amount],MATCH(Table1[[#This Row],[DocNo]],Table2[Reference],0)),0)</f>
        <v>-7966.03</v>
      </c>
      <c r="H90" s="3">
        <f>IF(COUNTIFS(Table2[Reference],Table1[[#This Row],[DocNo]])=0,0,ROUND(Table1[[#This Row],[Bank Amount]]-Table1[[#This Row],[Amount]],2))</f>
        <v>0</v>
      </c>
      <c r="I90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91" spans="1:9" x14ac:dyDescent="0.45">
      <c r="A91" s="1">
        <v>46195</v>
      </c>
      <c r="B91" t="s">
        <v>258</v>
      </c>
      <c r="C91" t="s">
        <v>281</v>
      </c>
      <c r="D91" t="s">
        <v>94</v>
      </c>
      <c r="E91">
        <v>-9274.16</v>
      </c>
      <c r="F91">
        <f>COUNTIF(INDEX(Table1[DocNo],1):Table1[[#This Row],[DocNo]],Table1[[#This Row],[DocNo]])</f>
        <v>1</v>
      </c>
      <c r="G91" s="3">
        <f>IFERROR(INDEX(Table2[Amount],MATCH(Table1[[#This Row],[DocNo]],Table2[Reference],0)),0)</f>
        <v>-9274.7900000000009</v>
      </c>
      <c r="H91" s="3">
        <f>IF(COUNTIFS(Table2[Reference],Table1[[#This Row],[DocNo]])=0,0,ROUND(Table1[[#This Row],[Bank Amount]]-Table1[[#This Row],[Amount]],2))</f>
        <v>-0.63</v>
      </c>
      <c r="I91" t="str">
        <f>IF(Table1[[#This Row],[Occurrence]]&gt;1,"Duplicate",IF(COUNTIFS(Table2[Reference],Table1[[#This Row],[DocNo]])=0,"GL only",IF(Table1[[#This Row],[Difference]]&lt;&gt;0,"Amount difference","Matched")))</f>
        <v>Amount difference</v>
      </c>
    </row>
    <row r="92" spans="1:9" x14ac:dyDescent="0.45">
      <c r="A92" s="1">
        <v>46195</v>
      </c>
      <c r="B92" t="s">
        <v>258</v>
      </c>
      <c r="C92" t="s">
        <v>267</v>
      </c>
      <c r="D92" t="s">
        <v>95</v>
      </c>
      <c r="E92">
        <v>-13390.63</v>
      </c>
      <c r="F92">
        <f>COUNTIF(INDEX(Table1[DocNo],1):Table1[[#This Row],[DocNo]],Table1[[#This Row],[DocNo]])</f>
        <v>1</v>
      </c>
      <c r="G92" s="3">
        <f>IFERROR(INDEX(Table2[Amount],MATCH(Table1[[#This Row],[DocNo]],Table2[Reference],0)),0)</f>
        <v>-13390.63</v>
      </c>
      <c r="H92" s="3">
        <f>IF(COUNTIFS(Table2[Reference],Table1[[#This Row],[DocNo]])=0,0,ROUND(Table1[[#This Row],[Bank Amount]]-Table1[[#This Row],[Amount]],2))</f>
        <v>0</v>
      </c>
      <c r="I92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93" spans="1:9" x14ac:dyDescent="0.45">
      <c r="A93" s="1">
        <v>46195</v>
      </c>
      <c r="B93" t="s">
        <v>258</v>
      </c>
      <c r="C93" t="s">
        <v>79</v>
      </c>
      <c r="D93" t="s">
        <v>96</v>
      </c>
      <c r="E93">
        <v>59150.99</v>
      </c>
      <c r="F93">
        <f>COUNTIF(INDEX(Table1[DocNo],1):Table1[[#This Row],[DocNo]],Table1[[#This Row],[DocNo]])</f>
        <v>1</v>
      </c>
      <c r="G93" s="3">
        <f>IFERROR(INDEX(Table2[Amount],MATCH(Table1[[#This Row],[DocNo]],Table2[Reference],0)),0)</f>
        <v>59150.99</v>
      </c>
      <c r="H93" s="3">
        <f>IF(COUNTIFS(Table2[Reference],Table1[[#This Row],[DocNo]])=0,0,ROUND(Table1[[#This Row],[Bank Amount]]-Table1[[#This Row],[Amount]],2))</f>
        <v>0</v>
      </c>
      <c r="I93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94" spans="1:9" x14ac:dyDescent="0.45">
      <c r="A94" s="1">
        <v>46195</v>
      </c>
      <c r="B94" t="s">
        <v>258</v>
      </c>
      <c r="C94" t="s">
        <v>271</v>
      </c>
      <c r="D94" t="s">
        <v>97</v>
      </c>
      <c r="E94">
        <v>-9603.9500000000007</v>
      </c>
      <c r="F94">
        <f>COUNTIF(INDEX(Table1[DocNo],1):Table1[[#This Row],[DocNo]],Table1[[#This Row],[DocNo]])</f>
        <v>1</v>
      </c>
      <c r="G94" s="3">
        <f>IFERROR(INDEX(Table2[Amount],MATCH(Table1[[#This Row],[DocNo]],Table2[Reference],0)),0)</f>
        <v>-9603.9500000000007</v>
      </c>
      <c r="H94" s="3">
        <f>IF(COUNTIFS(Table2[Reference],Table1[[#This Row],[DocNo]])=0,0,ROUND(Table1[[#This Row],[Bank Amount]]-Table1[[#This Row],[Amount]],2))</f>
        <v>0</v>
      </c>
      <c r="I94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95" spans="1:9" x14ac:dyDescent="0.45">
      <c r="A95" s="1">
        <v>46195</v>
      </c>
      <c r="B95" t="s">
        <v>258</v>
      </c>
      <c r="C95" t="s">
        <v>263</v>
      </c>
      <c r="D95" t="s">
        <v>98</v>
      </c>
      <c r="E95">
        <v>-19936.419999999998</v>
      </c>
      <c r="F95">
        <f>COUNTIF(INDEX(Table1[DocNo],1):Table1[[#This Row],[DocNo]],Table1[[#This Row],[DocNo]])</f>
        <v>1</v>
      </c>
      <c r="G95" s="3">
        <f>IFERROR(INDEX(Table2[Amount],MATCH(Table1[[#This Row],[DocNo]],Table2[Reference],0)),0)</f>
        <v>-19936.419999999998</v>
      </c>
      <c r="H95" s="3">
        <f>IF(COUNTIFS(Table2[Reference],Table1[[#This Row],[DocNo]])=0,0,ROUND(Table1[[#This Row],[Bank Amount]]-Table1[[#This Row],[Amount]],2))</f>
        <v>0</v>
      </c>
      <c r="I95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96" spans="1:9" x14ac:dyDescent="0.45">
      <c r="A96" s="1">
        <v>46195</v>
      </c>
      <c r="B96" t="s">
        <v>258</v>
      </c>
      <c r="C96" t="s">
        <v>263</v>
      </c>
      <c r="D96" t="s">
        <v>99</v>
      </c>
      <c r="E96">
        <v>-12259.66</v>
      </c>
      <c r="F96">
        <f>COUNTIF(INDEX(Table1[DocNo],1):Table1[[#This Row],[DocNo]],Table1[[#This Row],[DocNo]])</f>
        <v>1</v>
      </c>
      <c r="G96" s="3">
        <f>IFERROR(INDEX(Table2[Amount],MATCH(Table1[[#This Row],[DocNo]],Table2[Reference],0)),0)</f>
        <v>-12259.66</v>
      </c>
      <c r="H96" s="3">
        <f>IF(COUNTIFS(Table2[Reference],Table1[[#This Row],[DocNo]])=0,0,ROUND(Table1[[#This Row],[Bank Amount]]-Table1[[#This Row],[Amount]],2))</f>
        <v>0</v>
      </c>
      <c r="I96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97" spans="1:9" x14ac:dyDescent="0.45">
      <c r="A97" s="1">
        <v>46195</v>
      </c>
      <c r="B97" t="s">
        <v>258</v>
      </c>
      <c r="C97" t="s">
        <v>260</v>
      </c>
      <c r="D97" t="s">
        <v>100</v>
      </c>
      <c r="E97">
        <v>-14341.45</v>
      </c>
      <c r="F97">
        <f>COUNTIF(INDEX(Table1[DocNo],1):Table1[[#This Row],[DocNo]],Table1[[#This Row],[DocNo]])</f>
        <v>1</v>
      </c>
      <c r="G97" s="3">
        <f>IFERROR(INDEX(Table2[Amount],MATCH(Table1[[#This Row],[DocNo]],Table2[Reference],0)),0)</f>
        <v>-14341.45</v>
      </c>
      <c r="H97" s="3">
        <f>IF(COUNTIFS(Table2[Reference],Table1[[#This Row],[DocNo]])=0,0,ROUND(Table1[[#This Row],[Bank Amount]]-Table1[[#This Row],[Amount]],2))</f>
        <v>0</v>
      </c>
      <c r="I97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98" spans="1:9" x14ac:dyDescent="0.45">
      <c r="A98" s="1">
        <v>46195</v>
      </c>
      <c r="B98" t="s">
        <v>258</v>
      </c>
      <c r="C98" t="s">
        <v>277</v>
      </c>
      <c r="D98" t="s">
        <v>101</v>
      </c>
      <c r="E98">
        <v>-7694.16</v>
      </c>
      <c r="F98">
        <f>COUNTIF(INDEX(Table1[DocNo],1):Table1[[#This Row],[DocNo]],Table1[[#This Row],[DocNo]])</f>
        <v>1</v>
      </c>
      <c r="G98" s="3">
        <f>IFERROR(INDEX(Table2[Amount],MATCH(Table1[[#This Row],[DocNo]],Table2[Reference],0)),0)</f>
        <v>-7694.16</v>
      </c>
      <c r="H98" s="3">
        <f>IF(COUNTIFS(Table2[Reference],Table1[[#This Row],[DocNo]])=0,0,ROUND(Table1[[#This Row],[Bank Amount]]-Table1[[#This Row],[Amount]],2))</f>
        <v>0</v>
      </c>
      <c r="I98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99" spans="1:9" x14ac:dyDescent="0.45">
      <c r="A99" s="1">
        <v>46195</v>
      </c>
      <c r="B99" t="s">
        <v>258</v>
      </c>
      <c r="C99" t="s">
        <v>279</v>
      </c>
      <c r="D99" t="s">
        <v>102</v>
      </c>
      <c r="E99">
        <v>-18548.060000000001</v>
      </c>
      <c r="F99">
        <f>COUNTIF(INDEX(Table1[DocNo],1):Table1[[#This Row],[DocNo]],Table1[[#This Row],[DocNo]])</f>
        <v>1</v>
      </c>
      <c r="G99" s="3">
        <f>IFERROR(INDEX(Table2[Amount],MATCH(Table1[[#This Row],[DocNo]],Table2[Reference],0)),0)</f>
        <v>-18548.060000000001</v>
      </c>
      <c r="H99" s="3">
        <f>IF(COUNTIFS(Table2[Reference],Table1[[#This Row],[DocNo]])=0,0,ROUND(Table1[[#This Row],[Bank Amount]]-Table1[[#This Row],[Amount]],2))</f>
        <v>0</v>
      </c>
      <c r="I99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100" spans="1:9" x14ac:dyDescent="0.45">
      <c r="A100" s="1">
        <v>46196</v>
      </c>
      <c r="B100" t="s">
        <v>258</v>
      </c>
      <c r="C100" t="s">
        <v>272</v>
      </c>
      <c r="D100" t="s">
        <v>103</v>
      </c>
      <c r="E100">
        <v>-1887.53</v>
      </c>
      <c r="F100">
        <f>COUNTIF(INDEX(Table1[DocNo],1):Table1[[#This Row],[DocNo]],Table1[[#This Row],[DocNo]])</f>
        <v>1</v>
      </c>
      <c r="G100" s="3">
        <f>IFERROR(INDEX(Table2[Amount],MATCH(Table1[[#This Row],[DocNo]],Table2[Reference],0)),0)</f>
        <v>-1887.08</v>
      </c>
      <c r="H100" s="3">
        <f>IF(COUNTIFS(Table2[Reference],Table1[[#This Row],[DocNo]])=0,0,ROUND(Table1[[#This Row],[Bank Amount]]-Table1[[#This Row],[Amount]],2))</f>
        <v>0.45</v>
      </c>
      <c r="I100" t="str">
        <f>IF(Table1[[#This Row],[Occurrence]]&gt;1,"Duplicate",IF(COUNTIFS(Table2[Reference],Table1[[#This Row],[DocNo]])=0,"GL only",IF(Table1[[#This Row],[Difference]]&lt;&gt;0,"Amount difference","Matched")))</f>
        <v>Amount difference</v>
      </c>
    </row>
    <row r="101" spans="1:9" x14ac:dyDescent="0.45">
      <c r="A101" s="1">
        <v>46196</v>
      </c>
      <c r="B101" t="s">
        <v>258</v>
      </c>
      <c r="C101" t="s">
        <v>264</v>
      </c>
      <c r="D101" t="s">
        <v>104</v>
      </c>
      <c r="E101">
        <v>-22691.11</v>
      </c>
      <c r="F101">
        <f>COUNTIF(INDEX(Table1[DocNo],1):Table1[[#This Row],[DocNo]],Table1[[#This Row],[DocNo]])</f>
        <v>1</v>
      </c>
      <c r="G101" s="3">
        <f>IFERROR(INDEX(Table2[Amount],MATCH(Table1[[#This Row],[DocNo]],Table2[Reference],0)),0)</f>
        <v>-22691.11</v>
      </c>
      <c r="H101" s="3">
        <f>IF(COUNTIFS(Table2[Reference],Table1[[#This Row],[DocNo]])=0,0,ROUND(Table1[[#This Row],[Bank Amount]]-Table1[[#This Row],[Amount]],2))</f>
        <v>0</v>
      </c>
      <c r="I101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102" spans="1:9" x14ac:dyDescent="0.45">
      <c r="A102" s="1">
        <v>46196</v>
      </c>
      <c r="B102" t="s">
        <v>258</v>
      </c>
      <c r="C102" t="s">
        <v>276</v>
      </c>
      <c r="D102" t="s">
        <v>105</v>
      </c>
      <c r="E102">
        <v>-6648.91</v>
      </c>
      <c r="F102">
        <f>COUNTIF(INDEX(Table1[DocNo],1):Table1[[#This Row],[DocNo]],Table1[[#This Row],[DocNo]])</f>
        <v>1</v>
      </c>
      <c r="G102" s="3">
        <f>IFERROR(INDEX(Table2[Amount],MATCH(Table1[[#This Row],[DocNo]],Table2[Reference],0)),0)</f>
        <v>-6649.18</v>
      </c>
      <c r="H102" s="3">
        <f>IF(COUNTIFS(Table2[Reference],Table1[[#This Row],[DocNo]])=0,0,ROUND(Table1[[#This Row],[Bank Amount]]-Table1[[#This Row],[Amount]],2))</f>
        <v>-0.27</v>
      </c>
      <c r="I102" t="str">
        <f>IF(Table1[[#This Row],[Occurrence]]&gt;1,"Duplicate",IF(COUNTIFS(Table2[Reference],Table1[[#This Row],[DocNo]])=0,"GL only",IF(Table1[[#This Row],[Difference]]&lt;&gt;0,"Amount difference","Matched")))</f>
        <v>Amount difference</v>
      </c>
    </row>
    <row r="103" spans="1:9" x14ac:dyDescent="0.45">
      <c r="A103" s="1">
        <v>46197</v>
      </c>
      <c r="B103" t="s">
        <v>258</v>
      </c>
      <c r="C103" t="s">
        <v>280</v>
      </c>
      <c r="D103" t="s">
        <v>106</v>
      </c>
      <c r="E103">
        <v>-10531.31</v>
      </c>
      <c r="F103">
        <f>COUNTIF(INDEX(Table1[DocNo],1):Table1[[#This Row],[DocNo]],Table1[[#This Row],[DocNo]])</f>
        <v>1</v>
      </c>
      <c r="G103" s="3">
        <f>IFERROR(INDEX(Table2[Amount],MATCH(Table1[[#This Row],[DocNo]],Table2[Reference],0)),0)</f>
        <v>-10531.31</v>
      </c>
      <c r="H103" s="3">
        <f>IF(COUNTIFS(Table2[Reference],Table1[[#This Row],[DocNo]])=0,0,ROUND(Table1[[#This Row],[Bank Amount]]-Table1[[#This Row],[Amount]],2))</f>
        <v>0</v>
      </c>
      <c r="I103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104" spans="1:9" x14ac:dyDescent="0.45">
      <c r="A104" s="1">
        <v>46197</v>
      </c>
      <c r="B104" t="s">
        <v>258</v>
      </c>
      <c r="C104" t="s">
        <v>267</v>
      </c>
      <c r="D104" t="s">
        <v>107</v>
      </c>
      <c r="E104">
        <v>-22899.9</v>
      </c>
      <c r="F104">
        <f>COUNTIF(INDEX(Table1[DocNo],1):Table1[[#This Row],[DocNo]],Table1[[#This Row],[DocNo]])</f>
        <v>1</v>
      </c>
      <c r="G104" s="3">
        <f>IFERROR(INDEX(Table2[Amount],MATCH(Table1[[#This Row],[DocNo]],Table2[Reference],0)),0)</f>
        <v>-22899.9</v>
      </c>
      <c r="H104" s="3">
        <f>IF(COUNTIFS(Table2[Reference],Table1[[#This Row],[DocNo]])=0,0,ROUND(Table1[[#This Row],[Bank Amount]]-Table1[[#This Row],[Amount]],2))</f>
        <v>0</v>
      </c>
      <c r="I104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105" spans="1:9" x14ac:dyDescent="0.45">
      <c r="A105" s="1">
        <v>46197</v>
      </c>
      <c r="B105" t="s">
        <v>258</v>
      </c>
      <c r="C105" t="s">
        <v>259</v>
      </c>
      <c r="D105" t="s">
        <v>108</v>
      </c>
      <c r="E105">
        <v>-16540.939999999999</v>
      </c>
      <c r="F105">
        <f>COUNTIF(INDEX(Table1[DocNo],1):Table1[[#This Row],[DocNo]],Table1[[#This Row],[DocNo]])</f>
        <v>1</v>
      </c>
      <c r="G105" s="3">
        <f>IFERROR(INDEX(Table2[Amount],MATCH(Table1[[#This Row],[DocNo]],Table2[Reference],0)),0)</f>
        <v>-16540.939999999999</v>
      </c>
      <c r="H105" s="3">
        <f>IF(COUNTIFS(Table2[Reference],Table1[[#This Row],[DocNo]])=0,0,ROUND(Table1[[#This Row],[Bank Amount]]-Table1[[#This Row],[Amount]],2))</f>
        <v>0</v>
      </c>
      <c r="I105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106" spans="1:9" x14ac:dyDescent="0.45">
      <c r="A106" s="1">
        <v>46197</v>
      </c>
      <c r="B106" t="s">
        <v>258</v>
      </c>
      <c r="C106" t="s">
        <v>261</v>
      </c>
      <c r="D106" t="s">
        <v>109</v>
      </c>
      <c r="E106">
        <v>30455.14</v>
      </c>
      <c r="F106">
        <f>COUNTIF(INDEX(Table1[DocNo],1):Table1[[#This Row],[DocNo]],Table1[[#This Row],[DocNo]])</f>
        <v>1</v>
      </c>
      <c r="G106" s="3">
        <f>IFERROR(INDEX(Table2[Amount],MATCH(Table1[[#This Row],[DocNo]],Table2[Reference],0)),0)</f>
        <v>30455.14</v>
      </c>
      <c r="H106" s="3">
        <f>IF(COUNTIFS(Table2[Reference],Table1[[#This Row],[DocNo]])=0,0,ROUND(Table1[[#This Row],[Bank Amount]]-Table1[[#This Row],[Amount]],2))</f>
        <v>0</v>
      </c>
      <c r="I106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107" spans="1:9" x14ac:dyDescent="0.45">
      <c r="A107" s="1">
        <v>46198</v>
      </c>
      <c r="B107" t="s">
        <v>258</v>
      </c>
      <c r="C107" t="s">
        <v>266</v>
      </c>
      <c r="D107" t="s">
        <v>110</v>
      </c>
      <c r="E107">
        <v>-5308.77</v>
      </c>
      <c r="F107">
        <f>COUNTIF(INDEX(Table1[DocNo],1):Table1[[#This Row],[DocNo]],Table1[[#This Row],[DocNo]])</f>
        <v>1</v>
      </c>
      <c r="G107" s="3">
        <f>IFERROR(INDEX(Table2[Amount],MATCH(Table1[[#This Row],[DocNo]],Table2[Reference],0)),0)</f>
        <v>-5308.77</v>
      </c>
      <c r="H107" s="3">
        <f>IF(COUNTIFS(Table2[Reference],Table1[[#This Row],[DocNo]])=0,0,ROUND(Table1[[#This Row],[Bank Amount]]-Table1[[#This Row],[Amount]],2))</f>
        <v>0</v>
      </c>
      <c r="I107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108" spans="1:9" x14ac:dyDescent="0.45">
      <c r="A108" s="1">
        <v>46198</v>
      </c>
      <c r="B108" t="s">
        <v>258</v>
      </c>
      <c r="C108" t="s">
        <v>271</v>
      </c>
      <c r="D108" t="s">
        <v>111</v>
      </c>
      <c r="E108">
        <v>-19617.669999999998</v>
      </c>
      <c r="F108">
        <f>COUNTIF(INDEX(Table1[DocNo],1):Table1[[#This Row],[DocNo]],Table1[[#This Row],[DocNo]])</f>
        <v>1</v>
      </c>
      <c r="G108" s="3">
        <f>IFERROR(INDEX(Table2[Amount],MATCH(Table1[[#This Row],[DocNo]],Table2[Reference],0)),0)</f>
        <v>-19617.669999999998</v>
      </c>
      <c r="H108" s="3">
        <f>IF(COUNTIFS(Table2[Reference],Table1[[#This Row],[DocNo]])=0,0,ROUND(Table1[[#This Row],[Bank Amount]]-Table1[[#This Row],[Amount]],2))</f>
        <v>0</v>
      </c>
      <c r="I108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109" spans="1:9" x14ac:dyDescent="0.45">
      <c r="A109" s="1">
        <v>46198</v>
      </c>
      <c r="B109" t="s">
        <v>258</v>
      </c>
      <c r="C109" t="s">
        <v>277</v>
      </c>
      <c r="D109" t="s">
        <v>112</v>
      </c>
      <c r="E109">
        <v>-7711.34</v>
      </c>
      <c r="F109">
        <f>COUNTIF(INDEX(Table1[DocNo],1):Table1[[#This Row],[DocNo]],Table1[[#This Row],[DocNo]])</f>
        <v>1</v>
      </c>
      <c r="G109" s="3">
        <f>IFERROR(INDEX(Table2[Amount],MATCH(Table1[[#This Row],[DocNo]],Table2[Reference],0)),0)</f>
        <v>-7711.34</v>
      </c>
      <c r="H109" s="3">
        <f>IF(COUNTIFS(Table2[Reference],Table1[[#This Row],[DocNo]])=0,0,ROUND(Table1[[#This Row],[Bank Amount]]-Table1[[#This Row],[Amount]],2))</f>
        <v>0</v>
      </c>
      <c r="I109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110" spans="1:9" x14ac:dyDescent="0.45">
      <c r="A110" s="1">
        <v>46198</v>
      </c>
      <c r="B110" t="s">
        <v>258</v>
      </c>
      <c r="C110" t="s">
        <v>279</v>
      </c>
      <c r="D110" t="s">
        <v>113</v>
      </c>
      <c r="E110">
        <v>-20256.73</v>
      </c>
      <c r="F110">
        <f>COUNTIF(INDEX(Table1[DocNo],1):Table1[[#This Row],[DocNo]],Table1[[#This Row],[DocNo]])</f>
        <v>1</v>
      </c>
      <c r="G110" s="3">
        <f>IFERROR(INDEX(Table2[Amount],MATCH(Table1[[#This Row],[DocNo]],Table2[Reference],0)),0)</f>
        <v>-20256.73</v>
      </c>
      <c r="H110" s="3">
        <f>IF(COUNTIFS(Table2[Reference],Table1[[#This Row],[DocNo]])=0,0,ROUND(Table1[[#This Row],[Bank Amount]]-Table1[[#This Row],[Amount]],2))</f>
        <v>0</v>
      </c>
      <c r="I110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111" spans="1:9" x14ac:dyDescent="0.45">
      <c r="A111" s="1">
        <v>46199</v>
      </c>
      <c r="B111" t="s">
        <v>258</v>
      </c>
      <c r="C111" t="s">
        <v>266</v>
      </c>
      <c r="D111" t="s">
        <v>114</v>
      </c>
      <c r="E111">
        <v>-15125.76</v>
      </c>
      <c r="F111">
        <f>COUNTIF(INDEX(Table1[DocNo],1):Table1[[#This Row],[DocNo]],Table1[[#This Row],[DocNo]])</f>
        <v>1</v>
      </c>
      <c r="G111" s="3">
        <f>IFERROR(INDEX(Table2[Amount],MATCH(Table1[[#This Row],[DocNo]],Table2[Reference],0)),0)</f>
        <v>-15125.76</v>
      </c>
      <c r="H111" s="3">
        <f>IF(COUNTIFS(Table2[Reference],Table1[[#This Row],[DocNo]])=0,0,ROUND(Table1[[#This Row],[Bank Amount]]-Table1[[#This Row],[Amount]],2))</f>
        <v>0</v>
      </c>
      <c r="I111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112" spans="1:9" x14ac:dyDescent="0.45">
      <c r="A112" s="1">
        <v>46199</v>
      </c>
      <c r="B112" t="s">
        <v>258</v>
      </c>
      <c r="C112" t="s">
        <v>282</v>
      </c>
      <c r="D112" t="s">
        <v>115</v>
      </c>
      <c r="E112">
        <v>-7412.66</v>
      </c>
      <c r="F112">
        <f>COUNTIF(INDEX(Table1[DocNo],1):Table1[[#This Row],[DocNo]],Table1[[#This Row],[DocNo]])</f>
        <v>1</v>
      </c>
      <c r="G112" s="3">
        <f>IFERROR(INDEX(Table2[Amount],MATCH(Table1[[#This Row],[DocNo]],Table2[Reference],0)),0)</f>
        <v>0</v>
      </c>
      <c r="H112" s="3">
        <f>IF(COUNTIFS(Table2[Reference],Table1[[#This Row],[DocNo]])=0,0,ROUND(Table1[[#This Row],[Bank Amount]]-Table1[[#This Row],[Amount]],2))</f>
        <v>0</v>
      </c>
      <c r="I112" t="str">
        <f>IF(Table1[[#This Row],[Occurrence]]&gt;1,"Duplicate",IF(COUNTIFS(Table2[Reference],Table1[[#This Row],[DocNo]])=0,"GL only",IF(Table1[[#This Row],[Difference]]&lt;&gt;0,"Amount difference","Matched")))</f>
        <v>GL only</v>
      </c>
    </row>
    <row r="113" spans="1:9" x14ac:dyDescent="0.45">
      <c r="A113" s="1">
        <v>46199</v>
      </c>
      <c r="B113" t="s">
        <v>258</v>
      </c>
      <c r="C113" t="s">
        <v>273</v>
      </c>
      <c r="D113" t="s">
        <v>116</v>
      </c>
      <c r="E113">
        <v>-22249.66</v>
      </c>
      <c r="F113">
        <f>COUNTIF(INDEX(Table1[DocNo],1):Table1[[#This Row],[DocNo]],Table1[[#This Row],[DocNo]])</f>
        <v>1</v>
      </c>
      <c r="G113" s="3">
        <f>IFERROR(INDEX(Table2[Amount],MATCH(Table1[[#This Row],[DocNo]],Table2[Reference],0)),0)</f>
        <v>-22249.66</v>
      </c>
      <c r="H113" s="3">
        <f>IF(COUNTIFS(Table2[Reference],Table1[[#This Row],[DocNo]])=0,0,ROUND(Table1[[#This Row],[Bank Amount]]-Table1[[#This Row],[Amount]],2))</f>
        <v>0</v>
      </c>
      <c r="I113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114" spans="1:9" x14ac:dyDescent="0.45">
      <c r="A114" s="1">
        <v>46199</v>
      </c>
      <c r="B114" t="s">
        <v>258</v>
      </c>
      <c r="C114" t="s">
        <v>262</v>
      </c>
      <c r="D114" t="s">
        <v>117</v>
      </c>
      <c r="E114">
        <v>-20774.91</v>
      </c>
      <c r="F114">
        <f>COUNTIF(INDEX(Table1[DocNo],1):Table1[[#This Row],[DocNo]],Table1[[#This Row],[DocNo]])</f>
        <v>1</v>
      </c>
      <c r="G114" s="3">
        <f>IFERROR(INDEX(Table2[Amount],MATCH(Table1[[#This Row],[DocNo]],Table2[Reference],0)),0)</f>
        <v>-20774.91</v>
      </c>
      <c r="H114" s="3">
        <f>IF(COUNTIFS(Table2[Reference],Table1[[#This Row],[DocNo]])=0,0,ROUND(Table1[[#This Row],[Bank Amount]]-Table1[[#This Row],[Amount]],2))</f>
        <v>0</v>
      </c>
      <c r="I114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115" spans="1:9" x14ac:dyDescent="0.45">
      <c r="A115" s="1">
        <v>46199</v>
      </c>
      <c r="B115" t="s">
        <v>258</v>
      </c>
      <c r="C115" t="s">
        <v>262</v>
      </c>
      <c r="D115" t="s">
        <v>118</v>
      </c>
      <c r="E115">
        <v>-6535.31</v>
      </c>
      <c r="F115">
        <f>COUNTIF(INDEX(Table1[DocNo],1):Table1[[#This Row],[DocNo]],Table1[[#This Row],[DocNo]])</f>
        <v>1</v>
      </c>
      <c r="G115" s="3">
        <f>IFERROR(INDEX(Table2[Amount],MATCH(Table1[[#This Row],[DocNo]],Table2[Reference],0)),0)</f>
        <v>-6535.31</v>
      </c>
      <c r="H115" s="3">
        <f>IF(COUNTIFS(Table2[Reference],Table1[[#This Row],[DocNo]])=0,0,ROUND(Table1[[#This Row],[Bank Amount]]-Table1[[#This Row],[Amount]],2))</f>
        <v>0</v>
      </c>
      <c r="I115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116" spans="1:9" x14ac:dyDescent="0.45">
      <c r="A116" s="1">
        <v>46199</v>
      </c>
      <c r="B116" t="s">
        <v>258</v>
      </c>
      <c r="C116" t="s">
        <v>276</v>
      </c>
      <c r="D116" t="s">
        <v>119</v>
      </c>
      <c r="E116">
        <v>-22311.13</v>
      </c>
      <c r="F116">
        <f>COUNTIF(INDEX(Table1[DocNo],1):Table1[[#This Row],[DocNo]],Table1[[#This Row],[DocNo]])</f>
        <v>1</v>
      </c>
      <c r="G116" s="3">
        <f>IFERROR(INDEX(Table2[Amount],MATCH(Table1[[#This Row],[DocNo]],Table2[Reference],0)),0)</f>
        <v>-22311.13</v>
      </c>
      <c r="H116" s="3">
        <f>IF(COUNTIFS(Table2[Reference],Table1[[#This Row],[DocNo]])=0,0,ROUND(Table1[[#This Row],[Bank Amount]]-Table1[[#This Row],[Amount]],2))</f>
        <v>0</v>
      </c>
      <c r="I116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117" spans="1:9" x14ac:dyDescent="0.45">
      <c r="A117" s="1">
        <v>46199</v>
      </c>
      <c r="B117" t="s">
        <v>258</v>
      </c>
      <c r="C117" t="s">
        <v>277</v>
      </c>
      <c r="D117" t="s">
        <v>120</v>
      </c>
      <c r="E117">
        <v>-8508.86</v>
      </c>
      <c r="F117">
        <f>COUNTIF(INDEX(Table1[DocNo],1):Table1[[#This Row],[DocNo]],Table1[[#This Row],[DocNo]])</f>
        <v>1</v>
      </c>
      <c r="G117" s="3">
        <f>IFERROR(INDEX(Table2[Amount],MATCH(Table1[[#This Row],[DocNo]],Table2[Reference],0)),0)</f>
        <v>-8508.86</v>
      </c>
      <c r="H117" s="3">
        <f>IF(COUNTIFS(Table2[Reference],Table1[[#This Row],[DocNo]])=0,0,ROUND(Table1[[#This Row],[Bank Amount]]-Table1[[#This Row],[Amount]],2))</f>
        <v>0</v>
      </c>
      <c r="I117" t="str">
        <f>IF(Table1[[#This Row],[Occurrence]]&gt;1,"Duplicate",IF(COUNTIFS(Table2[Reference],Table1[[#This Row],[DocNo]])=0,"GL only",IF(Table1[[#This Row],[Difference]]&lt;&gt;0,"Amount difference","Matched")))</f>
        <v>Matched</v>
      </c>
    </row>
    <row r="118" spans="1:9" x14ac:dyDescent="0.45">
      <c r="A118" s="1">
        <v>46199</v>
      </c>
      <c r="B118" t="s">
        <v>258</v>
      </c>
      <c r="C118" t="s">
        <v>268</v>
      </c>
      <c r="D118" t="s">
        <v>121</v>
      </c>
      <c r="E118">
        <v>-13902.44</v>
      </c>
      <c r="F118">
        <f>COUNTIF(INDEX(Table1[DocNo],1):Table1[[#This Row],[DocNo]],Table1[[#This Row],[DocNo]])</f>
        <v>1</v>
      </c>
      <c r="G118" s="3">
        <f>IFERROR(INDEX(Table2[Amount],MATCH(Table1[[#This Row],[DocNo]],Table2[Reference],0)),0)</f>
        <v>-13902.08</v>
      </c>
      <c r="H118" s="3">
        <f>IF(COUNTIFS(Table2[Reference],Table1[[#This Row],[DocNo]])=0,0,ROUND(Table1[[#This Row],[Bank Amount]]-Table1[[#This Row],[Amount]],2))</f>
        <v>0.36</v>
      </c>
      <c r="I118" t="str">
        <f>IF(Table1[[#This Row],[Occurrence]]&gt;1,"Duplicate",IF(COUNTIFS(Table2[Reference],Table1[[#This Row],[DocNo]])=0,"GL only",IF(Table1[[#This Row],[Difference]]&lt;&gt;0,"Amount difference","Matched")))</f>
        <v>Amount difference</v>
      </c>
    </row>
    <row r="119" spans="1:9" x14ac:dyDescent="0.45">
      <c r="A119" s="1">
        <v>46202</v>
      </c>
      <c r="B119" t="s">
        <v>258</v>
      </c>
      <c r="C119" t="s">
        <v>283</v>
      </c>
      <c r="D119" t="s">
        <v>122</v>
      </c>
      <c r="E119">
        <v>-2340.5500000000002</v>
      </c>
      <c r="F119">
        <f>COUNTIF(INDEX(Table1[DocNo],1):Table1[[#This Row],[DocNo]],Table1[[#This Row],[DocNo]])</f>
        <v>1</v>
      </c>
      <c r="G119" s="3">
        <f>IFERROR(INDEX(Table2[Amount],MATCH(Table1[[#This Row],[DocNo]],Table2[Reference],0)),0)</f>
        <v>0</v>
      </c>
      <c r="H119" s="3">
        <f>IF(COUNTIFS(Table2[Reference],Table1[[#This Row],[DocNo]])=0,0,ROUND(Table1[[#This Row],[Bank Amount]]-Table1[[#This Row],[Amount]],2))</f>
        <v>0</v>
      </c>
      <c r="I119" t="str">
        <f>IF(Table1[[#This Row],[Occurrence]]&gt;1,"Duplicate",IF(COUNTIFS(Table2[Reference],Table1[[#This Row],[DocNo]])=0,"GL only",IF(Table1[[#This Row],[Difference]]&lt;&gt;0,"Amount difference","Matched")))</f>
        <v>GL only</v>
      </c>
    </row>
    <row r="120" spans="1:9" x14ac:dyDescent="0.45">
      <c r="A120" s="1">
        <v>46202</v>
      </c>
      <c r="B120" t="s">
        <v>258</v>
      </c>
      <c r="C120" t="s">
        <v>284</v>
      </c>
      <c r="D120" t="s">
        <v>123</v>
      </c>
      <c r="E120">
        <v>-15890.23</v>
      </c>
      <c r="F120">
        <f>COUNTIF(INDEX(Table1[DocNo],1):Table1[[#This Row],[DocNo]],Table1[[#This Row],[DocNo]])</f>
        <v>1</v>
      </c>
      <c r="G120" s="3">
        <f>IFERROR(INDEX(Table2[Amount],MATCH(Table1[[#This Row],[DocNo]],Table2[Reference],0)),0)</f>
        <v>0</v>
      </c>
      <c r="H120" s="3">
        <f>IF(COUNTIFS(Table2[Reference],Table1[[#This Row],[DocNo]])=0,0,ROUND(Table1[[#This Row],[Bank Amount]]-Table1[[#This Row],[Amount]],2))</f>
        <v>0</v>
      </c>
      <c r="I120" t="str">
        <f>IF(Table1[[#This Row],[Occurrence]]&gt;1,"Duplicate",IF(COUNTIFS(Table2[Reference],Table1[[#This Row],[DocNo]])=0,"GL only",IF(Table1[[#This Row],[Difference]]&lt;&gt;0,"Amount difference","Matched")))</f>
        <v>GL only</v>
      </c>
    </row>
    <row r="121" spans="1:9" x14ac:dyDescent="0.45">
      <c r="A121" s="1">
        <v>46203</v>
      </c>
      <c r="B121" t="s">
        <v>258</v>
      </c>
      <c r="C121" t="s">
        <v>285</v>
      </c>
      <c r="D121" t="s">
        <v>124</v>
      </c>
      <c r="E121">
        <v>-4178.09</v>
      </c>
      <c r="F121">
        <f>COUNTIF(INDEX(Table1[DocNo],1):Table1[[#This Row],[DocNo]],Table1[[#This Row],[DocNo]])</f>
        <v>1</v>
      </c>
      <c r="G121" s="3">
        <f>IFERROR(INDEX(Table2[Amount],MATCH(Table1[[#This Row],[DocNo]],Table2[Reference],0)),0)</f>
        <v>0</v>
      </c>
      <c r="H121" s="3">
        <f>IF(COUNTIFS(Table2[Reference],Table1[[#This Row],[DocNo]])=0,0,ROUND(Table1[[#This Row],[Bank Amount]]-Table1[[#This Row],[Amount]],2))</f>
        <v>0</v>
      </c>
      <c r="I121" t="str">
        <f>IF(Table1[[#This Row],[Occurrence]]&gt;1,"Duplicate",IF(COUNTIFS(Table2[Reference],Table1[[#This Row],[DocNo]])=0,"GL only",IF(Table1[[#This Row],[Difference]]&lt;&gt;0,"Amount difference","Matched")))</f>
        <v>GL only</v>
      </c>
    </row>
    <row r="122" spans="1:9" x14ac:dyDescent="0.45">
      <c r="A122" s="1">
        <v>46203</v>
      </c>
      <c r="B122" t="s">
        <v>258</v>
      </c>
      <c r="C122" t="s">
        <v>79</v>
      </c>
      <c r="D122" t="s">
        <v>125</v>
      </c>
      <c r="E122">
        <v>12764.31</v>
      </c>
      <c r="F122">
        <f>COUNTIF(INDEX(Table1[DocNo],1):Table1[[#This Row],[DocNo]],Table1[[#This Row],[DocNo]])</f>
        <v>1</v>
      </c>
      <c r="G122" s="3">
        <f>IFERROR(INDEX(Table2[Amount],MATCH(Table1[[#This Row],[DocNo]],Table2[Reference],0)),0)</f>
        <v>0</v>
      </c>
      <c r="H122" s="3">
        <f>IF(COUNTIFS(Table2[Reference],Table1[[#This Row],[DocNo]])=0,0,ROUND(Table1[[#This Row],[Bank Amount]]-Table1[[#This Row],[Amount]],2))</f>
        <v>0</v>
      </c>
      <c r="I122" t="str">
        <f>IF(Table1[[#This Row],[Occurrence]]&gt;1,"Duplicate",IF(COUNTIFS(Table2[Reference],Table1[[#This Row],[DocNo]])=0,"GL only",IF(Table1[[#This Row],[Difference]]&lt;&gt;0,"Amount difference","Matched")))</f>
        <v>GL only</v>
      </c>
    </row>
    <row r="123" spans="1:9" x14ac:dyDescent="0.45">
      <c r="A123" s="1">
        <v>46203</v>
      </c>
      <c r="B123" t="s">
        <v>258</v>
      </c>
      <c r="C123" t="s">
        <v>261</v>
      </c>
      <c r="D123" t="s">
        <v>126</v>
      </c>
      <c r="E123">
        <v>48310.77</v>
      </c>
      <c r="F123">
        <f>COUNTIF(INDEX(Table1[DocNo],1):Table1[[#This Row],[DocNo]],Table1[[#This Row],[DocNo]])</f>
        <v>1</v>
      </c>
      <c r="G123" s="3">
        <f>IFERROR(INDEX(Table2[Amount],MATCH(Table1[[#This Row],[DocNo]],Table2[Reference],0)),0)</f>
        <v>0</v>
      </c>
      <c r="H123" s="3">
        <f>IF(COUNTIFS(Table2[Reference],Table1[[#This Row],[DocNo]])=0,0,ROUND(Table1[[#This Row],[Bank Amount]]-Table1[[#This Row],[Amount]],2))</f>
        <v>0</v>
      </c>
      <c r="I123" t="str">
        <f>IF(Table1[[#This Row],[Occurrence]]&gt;1,"Duplicate",IF(COUNTIFS(Table2[Reference],Table1[[#This Row],[DocNo]])=0,"GL only",IF(Table1[[#This Row],[Difference]]&lt;&gt;0,"Amount difference","Matched")))</f>
        <v>GL only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168FA-8CA8-4770-A012-3B8A1E8B53C8}">
  <dimension ref="A1:E30"/>
  <sheetViews>
    <sheetView workbookViewId="0">
      <selection activeCell="D6" sqref="D6"/>
    </sheetView>
  </sheetViews>
  <sheetFormatPr defaultRowHeight="14.25" x14ac:dyDescent="0.45"/>
  <cols>
    <col min="1" max="1" width="14.19921875" customWidth="1"/>
    <col min="2" max="2" width="40.86328125" customWidth="1"/>
    <col min="3" max="3" width="16" customWidth="1"/>
    <col min="4" max="5" width="15.1328125" customWidth="1"/>
  </cols>
  <sheetData>
    <row r="1" spans="1:5" ht="18" x14ac:dyDescent="0.55000000000000004">
      <c r="A1" s="4" t="s">
        <v>306</v>
      </c>
    </row>
    <row r="2" spans="1:5" x14ac:dyDescent="0.45">
      <c r="A2" s="5" t="s">
        <v>307</v>
      </c>
    </row>
    <row r="4" spans="1:5" x14ac:dyDescent="0.45">
      <c r="A4" s="6" t="s">
        <v>294</v>
      </c>
      <c r="B4" s="6"/>
      <c r="C4" s="6"/>
      <c r="D4" s="6" t="s">
        <v>4</v>
      </c>
      <c r="E4" s="6" t="s">
        <v>295</v>
      </c>
    </row>
    <row r="5" spans="1:5" x14ac:dyDescent="0.45">
      <c r="A5" t="s">
        <v>308</v>
      </c>
      <c r="D5" s="3">
        <f>SUM(Table2[Amount])</f>
        <v>222907.30000000019</v>
      </c>
      <c r="E5" s="3"/>
    </row>
    <row r="6" spans="1:5" x14ac:dyDescent="0.45">
      <c r="A6" t="s">
        <v>309</v>
      </c>
      <c r="D6" s="3">
        <f>SUMIFS(Table1[Amount],Table1[Status],"GL only",Table1[Amount],"&gt;0")</f>
        <v>61075.079999999994</v>
      </c>
      <c r="E6" s="3">
        <f>SUM(INDEX(_xlfn.ANCHORARRAY(A15),0,4))</f>
        <v>61075.079999999994</v>
      </c>
    </row>
    <row r="7" spans="1:5" x14ac:dyDescent="0.45">
      <c r="A7" t="s">
        <v>310</v>
      </c>
      <c r="D7" s="3">
        <f>SUMIFS(Table1[Amount],Table1[Status],"GL only",Table1[Amount],"&lt;0")</f>
        <v>-29821.53</v>
      </c>
      <c r="E7" s="3">
        <f>SUM(INDEX(_xlfn.ANCHORARRAY(A22),0,4))</f>
        <v>-29821.53</v>
      </c>
    </row>
    <row r="8" spans="1:5" ht="14.65" thickBot="1" x14ac:dyDescent="0.5">
      <c r="A8" s="7" t="s">
        <v>311</v>
      </c>
      <c r="B8" s="7"/>
      <c r="C8" s="7"/>
      <c r="D8" s="8">
        <f>SUM(D5:D7)</f>
        <v>254160.85000000018</v>
      </c>
      <c r="E8" s="8"/>
    </row>
    <row r="9" spans="1:5" ht="14.65" thickTop="1" x14ac:dyDescent="0.45">
      <c r="D9" s="3"/>
      <c r="E9" s="3"/>
    </row>
    <row r="10" spans="1:5" x14ac:dyDescent="0.45">
      <c r="A10" t="s">
        <v>312</v>
      </c>
      <c r="D10" s="10">
        <f>'Adjusted Cash Book'!D9</f>
        <v>254160.84999999998</v>
      </c>
      <c r="E10" s="3"/>
    </row>
    <row r="11" spans="1:5" ht="14.65" thickBot="1" x14ac:dyDescent="0.5">
      <c r="A11" s="7" t="s">
        <v>313</v>
      </c>
      <c r="B11" s="7"/>
      <c r="C11" s="7"/>
      <c r="D11" s="8">
        <f>ROUND(D8-D10,2)</f>
        <v>0</v>
      </c>
      <c r="E11" s="8"/>
    </row>
    <row r="12" spans="1:5" ht="14.65" thickTop="1" x14ac:dyDescent="0.45"/>
    <row r="13" spans="1:5" x14ac:dyDescent="0.45">
      <c r="A13" s="2" t="s">
        <v>314</v>
      </c>
    </row>
    <row r="14" spans="1:5" x14ac:dyDescent="0.45">
      <c r="A14" s="6" t="s">
        <v>0</v>
      </c>
      <c r="B14" s="6" t="s">
        <v>2</v>
      </c>
      <c r="C14" s="6" t="s">
        <v>3</v>
      </c>
      <c r="D14" s="6" t="s">
        <v>4</v>
      </c>
    </row>
    <row r="15" spans="1:5" x14ac:dyDescent="0.45">
      <c r="A15" s="9" cm="1">
        <f t="array" ref="A15:D16">_xlfn._xlws.FILTER(_xlfn.CHOOSECOLS(Table1[[Date]:[Amount]],1,3,4,5),(Table1[Status]="GL only")*(Table1[Amount]&gt;0))</f>
        <v>46203</v>
      </c>
      <c r="B15" t="str">
        <v>Cogeco underground build</v>
      </c>
      <c r="C15" t="str">
        <v>REF40957</v>
      </c>
      <c r="D15" s="3">
        <v>12764.31</v>
      </c>
    </row>
    <row r="16" spans="1:5" x14ac:dyDescent="0.45">
      <c r="A16" s="9">
        <v>46203</v>
      </c>
      <c r="B16" t="str">
        <v>Rogers Communications progress billing</v>
      </c>
      <c r="C16" t="str">
        <v>REF40947</v>
      </c>
      <c r="D16" s="3">
        <v>48310.77</v>
      </c>
    </row>
    <row r="17" spans="1:4" x14ac:dyDescent="0.45">
      <c r="A17" s="9"/>
      <c r="D17" s="3"/>
    </row>
    <row r="18" spans="1:4" x14ac:dyDescent="0.45">
      <c r="A18" s="9"/>
      <c r="D18" s="3"/>
    </row>
    <row r="19" spans="1:4" x14ac:dyDescent="0.45">
      <c r="A19" s="9"/>
      <c r="D19" s="3"/>
    </row>
    <row r="20" spans="1:4" x14ac:dyDescent="0.45">
      <c r="A20" s="11" t="s">
        <v>315</v>
      </c>
      <c r="D20" s="3"/>
    </row>
    <row r="21" spans="1:4" x14ac:dyDescent="0.45">
      <c r="A21" s="12" t="s">
        <v>0</v>
      </c>
      <c r="B21" s="6" t="s">
        <v>2</v>
      </c>
      <c r="C21" s="6" t="s">
        <v>3</v>
      </c>
      <c r="D21" s="13" t="s">
        <v>4</v>
      </c>
    </row>
    <row r="22" spans="1:4" x14ac:dyDescent="0.45">
      <c r="A22" s="9" cm="1">
        <f t="array" ref="A22:D25">_xlfn._xlws.FILTER(_xlfn.CHOOSECOLS(Table1[[Date]:[Amount]],1,3,4,5),(Table1[Status]="GL only")*(Table1[Amount]&lt;0))</f>
        <v>46199</v>
      </c>
      <c r="B22" t="str">
        <v>Ditch Witch of Ontario parts invoice</v>
      </c>
      <c r="C22" t="str">
        <v>CHQ#1079</v>
      </c>
      <c r="D22" s="3">
        <v>-7412.66</v>
      </c>
    </row>
    <row r="23" spans="1:4" x14ac:dyDescent="0.45">
      <c r="A23" s="9">
        <v>46202</v>
      </c>
      <c r="B23" t="str">
        <v>Region of Halton road permit fees</v>
      </c>
      <c r="C23" t="str">
        <v>CHQ#1081</v>
      </c>
      <c r="D23" s="3">
        <v>-2340.5500000000002</v>
      </c>
    </row>
    <row r="24" spans="1:4" x14ac:dyDescent="0.45">
      <c r="A24" s="9">
        <v>46202</v>
      </c>
      <c r="B24" t="str">
        <v>Vermeer Canada drill head rebuild</v>
      </c>
      <c r="C24" t="str">
        <v>CHQ#1080</v>
      </c>
      <c r="D24" s="3">
        <v>-15890.23</v>
      </c>
    </row>
    <row r="25" spans="1:4" x14ac:dyDescent="0.45">
      <c r="A25" s="9">
        <v>46203</v>
      </c>
      <c r="B25" t="str">
        <v>Brandt Tractor Ltd service invoice</v>
      </c>
      <c r="C25" t="str">
        <v>CHQ#1082</v>
      </c>
      <c r="D25" s="3">
        <v>-4178.09</v>
      </c>
    </row>
    <row r="26" spans="1:4" x14ac:dyDescent="0.45">
      <c r="A26" s="9"/>
      <c r="D26" s="3"/>
    </row>
    <row r="27" spans="1:4" x14ac:dyDescent="0.45">
      <c r="A27" s="9"/>
      <c r="D27" s="3"/>
    </row>
    <row r="28" spans="1:4" x14ac:dyDescent="0.45">
      <c r="A28" s="9"/>
      <c r="D28" s="3"/>
    </row>
    <row r="29" spans="1:4" x14ac:dyDescent="0.45">
      <c r="A29" s="9"/>
      <c r="D29" s="3"/>
    </row>
    <row r="30" spans="1:4" x14ac:dyDescent="0.45">
      <c r="A30" s="9"/>
      <c r="D30" s="3"/>
    </row>
  </sheetData>
  <conditionalFormatting sqref="D11">
    <cfRule type="cellIs" dxfId="1" priority="1" operator="equal">
      <formula>0</formula>
    </cfRule>
  </conditionalFormatting>
  <conditionalFormatting sqref="D11">
    <cfRule type="cellIs" dxfId="0" priority="2" operator="not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6830-7A5E-4761-A69C-448C3905DE5D}">
  <dimension ref="A1:F45"/>
  <sheetViews>
    <sheetView topLeftCell="A22" workbookViewId="0">
      <selection activeCell="B7" sqref="B7"/>
    </sheetView>
  </sheetViews>
  <sheetFormatPr defaultRowHeight="14.25" x14ac:dyDescent="0.45"/>
  <cols>
    <col min="1" max="1" width="14.19921875" customWidth="1"/>
    <col min="2" max="2" width="40.86328125" customWidth="1"/>
    <col min="3" max="3" width="16" customWidth="1"/>
    <col min="4" max="6" width="15.1328125" customWidth="1"/>
  </cols>
  <sheetData>
    <row r="1" spans="1:5" ht="18" x14ac:dyDescent="0.55000000000000004">
      <c r="A1" s="4" t="s">
        <v>292</v>
      </c>
    </row>
    <row r="2" spans="1:5" x14ac:dyDescent="0.45">
      <c r="A2" s="5" t="s">
        <v>293</v>
      </c>
    </row>
    <row r="4" spans="1:5" x14ac:dyDescent="0.45">
      <c r="A4" s="6" t="s">
        <v>294</v>
      </c>
      <c r="B4" s="6"/>
      <c r="C4" s="6"/>
      <c r="D4" s="6" t="s">
        <v>4</v>
      </c>
      <c r="E4" s="6" t="s">
        <v>295</v>
      </c>
    </row>
    <row r="5" spans="1:5" x14ac:dyDescent="0.45">
      <c r="A5" t="s">
        <v>296</v>
      </c>
      <c r="D5" s="3">
        <f>SUM(Table1[Amount])</f>
        <v>243433.59</v>
      </c>
      <c r="E5" s="3"/>
    </row>
    <row r="6" spans="1:5" x14ac:dyDescent="0.45">
      <c r="A6" t="s">
        <v>297</v>
      </c>
      <c r="D6" s="3">
        <f>SUMIFS(Table2[Amount],Table2[Status],"Bank only")</f>
        <v>497.42999999999995</v>
      </c>
      <c r="E6" s="3">
        <f>SUM(INDEX(_xlfn.ANCHORARRAY(A14),0,4))</f>
        <v>497.42999999999995</v>
      </c>
    </row>
    <row r="7" spans="1:5" x14ac:dyDescent="0.45">
      <c r="A7" t="s">
        <v>298</v>
      </c>
      <c r="D7" s="3">
        <f>-SUMIFS(Table1[Amount],Table1[Status],"Duplicate")</f>
        <v>10230.18</v>
      </c>
      <c r="E7" s="3">
        <f>SUM(_xlfn.ANCHORARRAY(D26))</f>
        <v>10230.18</v>
      </c>
    </row>
    <row r="8" spans="1:5" x14ac:dyDescent="0.45">
      <c r="A8" t="s">
        <v>299</v>
      </c>
      <c r="D8" s="3">
        <f>SUMIFS(Table1[Difference],Table1[Status],"Amount difference")</f>
        <v>-0.35</v>
      </c>
      <c r="E8" s="3">
        <f>SUM(_xlfn.ANCHORARRAY(F32))</f>
        <v>-0.35</v>
      </c>
    </row>
    <row r="9" spans="1:5" ht="14.65" thickBot="1" x14ac:dyDescent="0.5">
      <c r="A9" s="7" t="s">
        <v>300</v>
      </c>
      <c r="B9" s="7"/>
      <c r="C9" s="7"/>
      <c r="D9" s="8">
        <f>SUM(D5:D8)</f>
        <v>254160.84999999998</v>
      </c>
      <c r="E9" s="8"/>
    </row>
    <row r="10" spans="1:5" ht="14.65" thickTop="1" x14ac:dyDescent="0.45"/>
    <row r="12" spans="1:5" x14ac:dyDescent="0.45">
      <c r="A12" s="2" t="s">
        <v>301</v>
      </c>
    </row>
    <row r="13" spans="1:5" x14ac:dyDescent="0.45">
      <c r="A13" s="6" t="s">
        <v>0</v>
      </c>
      <c r="B13" s="6" t="s">
        <v>127</v>
      </c>
      <c r="C13" s="6" t="s">
        <v>128</v>
      </c>
      <c r="D13" s="6" t="s">
        <v>4</v>
      </c>
    </row>
    <row r="14" spans="1:5" x14ac:dyDescent="0.45">
      <c r="A14" s="9" cm="1">
        <f t="array" ref="A14:D20">_xlfn._xlws.FILTER(Table2[[Date]:[Amount]],Table2[Status]="Bank only")</f>
        <v>46191</v>
      </c>
      <c r="B14" t="str">
        <v>NSF RETURNED ITEM FEE</v>
      </c>
      <c r="C14" t="str">
        <v>NSF-0618</v>
      </c>
      <c r="D14" s="3">
        <v>-48</v>
      </c>
    </row>
    <row r="15" spans="1:5" x14ac:dyDescent="0.45">
      <c r="A15" s="9">
        <v>46195</v>
      </c>
      <c r="B15" t="str">
        <v>MERCHANT PROCESSING FEE MONERIS</v>
      </c>
      <c r="C15" t="str">
        <v>MER-0622</v>
      </c>
      <c r="D15" s="3">
        <v>-389.44</v>
      </c>
    </row>
    <row r="16" spans="1:5" x14ac:dyDescent="0.45">
      <c r="A16" s="9">
        <v>46198</v>
      </c>
      <c r="B16" t="str">
        <v>PRE-AUTH DEBIT UNKNOWN ORIG 7719</v>
      </c>
      <c r="C16" t="str">
        <v>PAD-7719</v>
      </c>
      <c r="D16" s="3">
        <v>-1260</v>
      </c>
    </row>
    <row r="17" spans="1:6" x14ac:dyDescent="0.45">
      <c r="A17" s="9">
        <v>46199</v>
      </c>
      <c r="B17" t="str">
        <v>E-TRANSFER RECEIVED T4X99A</v>
      </c>
      <c r="C17" t="str">
        <v>ETR-T4X99A</v>
      </c>
      <c r="D17" s="3">
        <v>2150</v>
      </c>
    </row>
    <row r="18" spans="1:6" x14ac:dyDescent="0.45">
      <c r="A18" s="9">
        <v>46203</v>
      </c>
      <c r="B18" t="str">
        <v>INTEREST EARNED</v>
      </c>
      <c r="C18" t="str">
        <v>INT-JUN</v>
      </c>
      <c r="D18" s="3">
        <v>214.87</v>
      </c>
    </row>
    <row r="19" spans="1:6" x14ac:dyDescent="0.45">
      <c r="A19" s="9">
        <v>46203</v>
      </c>
      <c r="B19" t="str">
        <v>MONTHLY ACCOUNT FEE</v>
      </c>
      <c r="C19" t="str">
        <v>SVC-JUN</v>
      </c>
      <c r="D19" s="3">
        <v>-125</v>
      </c>
    </row>
    <row r="20" spans="1:6" x14ac:dyDescent="0.45">
      <c r="A20" s="9">
        <v>46203</v>
      </c>
      <c r="B20" t="str">
        <v>SERVICE CHARGE - WIRE PAYMENT</v>
      </c>
      <c r="C20" t="str">
        <v>WIRE-FEE</v>
      </c>
      <c r="D20" s="3">
        <v>-45</v>
      </c>
    </row>
    <row r="21" spans="1:6" x14ac:dyDescent="0.45">
      <c r="A21" s="9"/>
      <c r="D21" s="3"/>
    </row>
    <row r="22" spans="1:6" x14ac:dyDescent="0.45">
      <c r="A22" s="9"/>
      <c r="D22" s="3"/>
    </row>
    <row r="24" spans="1:6" x14ac:dyDescent="0.45">
      <c r="A24" s="2" t="s">
        <v>302</v>
      </c>
    </row>
    <row r="25" spans="1:6" x14ac:dyDescent="0.45">
      <c r="A25" s="6" t="s">
        <v>0</v>
      </c>
      <c r="B25" s="6" t="s">
        <v>2</v>
      </c>
      <c r="C25" s="6" t="s">
        <v>3</v>
      </c>
      <c r="D25" s="6" t="s">
        <v>303</v>
      </c>
    </row>
    <row r="26" spans="1:6" x14ac:dyDescent="0.45">
      <c r="A26" s="9" cm="1">
        <f t="array" ref="A26">_xlfn._xlws.FILTER(Table1[Date],Table1[Status]="Duplicate")</f>
        <v>46174</v>
      </c>
      <c r="B26" t="str" cm="1">
        <f t="array" ref="B26">_xlfn._xlws.FILTER(Table1[Memo],Table1[Status]="Duplicate")</f>
        <v>Region of Halton invoice payment</v>
      </c>
      <c r="C26" t="str" cm="1">
        <f t="array" ref="C26">_xlfn._xlws.FILTER(Table1[DocNo],Table1[Status]="Duplicate")</f>
        <v>CHQ#1042</v>
      </c>
      <c r="D26" s="3" cm="1">
        <f t="array" ref="D26">-_xlfn._xlws.FILTER(Table1[Amount],Table1[Status]="Duplicate")</f>
        <v>10230.18</v>
      </c>
    </row>
    <row r="27" spans="1:6" x14ac:dyDescent="0.45">
      <c r="A27" s="9"/>
      <c r="D27" s="3"/>
    </row>
    <row r="28" spans="1:6" x14ac:dyDescent="0.45">
      <c r="A28" s="9"/>
      <c r="D28" s="3"/>
    </row>
    <row r="30" spans="1:6" x14ac:dyDescent="0.45">
      <c r="A30" s="2" t="s">
        <v>304</v>
      </c>
    </row>
    <row r="31" spans="1:6" x14ac:dyDescent="0.45">
      <c r="A31" s="6" t="s">
        <v>0</v>
      </c>
      <c r="B31" s="6" t="s">
        <v>2</v>
      </c>
      <c r="C31" s="6" t="s">
        <v>3</v>
      </c>
      <c r="D31" s="6" t="s">
        <v>287</v>
      </c>
      <c r="E31" s="6" t="s">
        <v>291</v>
      </c>
      <c r="F31" s="6" t="s">
        <v>305</v>
      </c>
    </row>
    <row r="32" spans="1:6" x14ac:dyDescent="0.45">
      <c r="A32" s="9" cm="1">
        <f t="array" ref="A32:A39">_xlfn._xlws.FILTER(Table1[Date],Table1[Status]="Amount difference")</f>
        <v>46177</v>
      </c>
      <c r="B32" t="str" cm="1">
        <f t="array" ref="B32:B39">_xlfn._xlws.FILTER(Table1[Memo],Table1[Status]="Amount difference")</f>
        <v>Bell Canada invoice payment</v>
      </c>
      <c r="C32" t="str" cm="1">
        <f t="array" ref="C32:C39">_xlfn._xlws.FILTER(Table1[DocNo],Table1[Status]="Amount difference")</f>
        <v>REF40826</v>
      </c>
      <c r="D32" s="3" cm="1">
        <f t="array" ref="D32:D39">_xlfn._xlws.FILTER(Table1[Amount],Table1[Status]="Amount difference")</f>
        <v>-4183.67</v>
      </c>
      <c r="E32" s="3" cm="1">
        <f t="array" ref="E32:E39">_xlfn._xlws.FILTER(Table1[Bank Amount],Table1[Status]="Amount difference")</f>
        <v>-4183.58</v>
      </c>
      <c r="F32" s="3" cm="1">
        <f t="array" ref="F32:F39">_xlfn._xlws.FILTER(Table1[Difference],Table1[Status]="Amount difference")</f>
        <v>0.09</v>
      </c>
    </row>
    <row r="33" spans="1:6" x14ac:dyDescent="0.45">
      <c r="A33" s="9">
        <v>46185</v>
      </c>
      <c r="B33" t="str">
        <v>GFL Environmental invoice payment</v>
      </c>
      <c r="C33" t="str">
        <v>REF40929</v>
      </c>
      <c r="D33" s="3">
        <v>-743.29</v>
      </c>
      <c r="E33" s="3">
        <v>-743.6</v>
      </c>
      <c r="F33" s="3">
        <v>-0.31</v>
      </c>
    </row>
    <row r="34" spans="1:6" x14ac:dyDescent="0.45">
      <c r="A34" s="9">
        <v>46191</v>
      </c>
      <c r="B34" t="str">
        <v>Shell Fleet Card invoice payment</v>
      </c>
      <c r="C34" t="str">
        <v>REF40833</v>
      </c>
      <c r="D34" s="3">
        <v>-2411.2800000000002</v>
      </c>
      <c r="E34" s="3">
        <v>-2411.46</v>
      </c>
      <c r="F34" s="3">
        <v>-0.18</v>
      </c>
    </row>
    <row r="35" spans="1:6" x14ac:dyDescent="0.45">
      <c r="A35" s="9">
        <v>46192</v>
      </c>
      <c r="B35" t="str">
        <v>Milton Hydro invoice payment</v>
      </c>
      <c r="C35" t="str">
        <v>REF40918</v>
      </c>
      <c r="D35" s="3">
        <v>-1154.82</v>
      </c>
      <c r="E35" s="3">
        <v>-1154.68</v>
      </c>
      <c r="F35" s="3">
        <v>0.14000000000000001</v>
      </c>
    </row>
    <row r="36" spans="1:6" x14ac:dyDescent="0.45">
      <c r="A36" s="9">
        <v>46195</v>
      </c>
      <c r="B36" t="str">
        <v>Anixter Canada invoice payment</v>
      </c>
      <c r="C36" t="str">
        <v>REF40901</v>
      </c>
      <c r="D36" s="3">
        <v>-9274.16</v>
      </c>
      <c r="E36" s="3">
        <v>-9274.7900000000009</v>
      </c>
      <c r="F36" s="3">
        <v>-0.63</v>
      </c>
    </row>
    <row r="37" spans="1:6" x14ac:dyDescent="0.45">
      <c r="A37" s="9">
        <v>46196</v>
      </c>
      <c r="B37" t="str">
        <v>Intact Insurance invoice payment</v>
      </c>
      <c r="C37" t="str">
        <v>REF40884</v>
      </c>
      <c r="D37" s="3">
        <v>-1887.53</v>
      </c>
      <c r="E37" s="3">
        <v>-1887.08</v>
      </c>
      <c r="F37" s="3">
        <v>0.45</v>
      </c>
    </row>
    <row r="38" spans="1:6" x14ac:dyDescent="0.45">
      <c r="A38" s="9">
        <v>46196</v>
      </c>
      <c r="B38" t="str">
        <v>United Rentals invoice payment</v>
      </c>
      <c r="C38" t="str">
        <v>REF40865</v>
      </c>
      <c r="D38" s="3">
        <v>-6648.91</v>
      </c>
      <c r="E38" s="3">
        <v>-6649.18</v>
      </c>
      <c r="F38" s="3">
        <v>-0.27</v>
      </c>
    </row>
    <row r="39" spans="1:6" x14ac:dyDescent="0.45">
      <c r="A39" s="9">
        <v>46199</v>
      </c>
      <c r="B39" t="str">
        <v>WESCO Distribution invoice payment</v>
      </c>
      <c r="C39" t="str">
        <v>REF40852</v>
      </c>
      <c r="D39" s="3">
        <v>-13902.44</v>
      </c>
      <c r="E39" s="3">
        <v>-13902.08</v>
      </c>
      <c r="F39" s="3">
        <v>0.36</v>
      </c>
    </row>
    <row r="40" spans="1:6" x14ac:dyDescent="0.45">
      <c r="A40" s="9"/>
      <c r="D40" s="3"/>
      <c r="E40" s="3"/>
      <c r="F40" s="3"/>
    </row>
    <row r="41" spans="1:6" x14ac:dyDescent="0.45">
      <c r="A41" s="9"/>
      <c r="D41" s="3"/>
      <c r="E41" s="3"/>
      <c r="F41" s="3"/>
    </row>
    <row r="42" spans="1:6" x14ac:dyDescent="0.45">
      <c r="A42" s="9"/>
      <c r="D42" s="3"/>
      <c r="E42" s="3"/>
      <c r="F42" s="3"/>
    </row>
    <row r="43" spans="1:6" x14ac:dyDescent="0.45">
      <c r="A43" s="9"/>
      <c r="D43" s="3"/>
      <c r="E43" s="3"/>
      <c r="F43" s="3"/>
    </row>
    <row r="44" spans="1:6" x14ac:dyDescent="0.45">
      <c r="A44" s="9"/>
      <c r="D44" s="3"/>
      <c r="E44" s="3"/>
      <c r="F44" s="3"/>
    </row>
    <row r="45" spans="1:6" x14ac:dyDescent="0.45">
      <c r="A45" s="9"/>
      <c r="D45" s="3"/>
      <c r="E45" s="3"/>
      <c r="F45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A8E65B-8C82-4842-96C1-0F87514BD3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bank_statement_jun2026</vt:lpstr>
      <vt:lpstr>gl_cash_extract_jun2026</vt:lpstr>
      <vt:lpstr>Bank Reconciliation Statement</vt:lpstr>
      <vt:lpstr>Adjusted Cash 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Ocran</dc:creator>
  <cp:lastModifiedBy>Edward Ocran</cp:lastModifiedBy>
  <dcterms:created xsi:type="dcterms:W3CDTF">2026-10-07T00:32:08Z</dcterms:created>
  <dcterms:modified xsi:type="dcterms:W3CDTF">2026-10-07T03:19:40Z</dcterms:modified>
</cp:coreProperties>
</file>